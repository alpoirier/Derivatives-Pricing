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5225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L:\6_Divers\2_Master 203 - Dauphine\0_Pack rentrée 2022-2023\1_Pack for professor\Excels\"/>
    </mc:Choice>
  </mc:AlternateContent>
  <xr:revisionPtr revIDLastSave="0" documentId="8_{EC548EB3-102A-4E3B-A9B0-DF574443592E}" xr6:coauthVersionLast="47" xr6:coauthVersionMax="47" xr10:uidLastSave="{00000000-0000-0000-0000-000000000000}"/>
  <bookViews>
    <workbookView xWindow="-120" yWindow="-120" windowWidth="29040" windowHeight="17640" tabRatio="522"/>
  </bookViews>
  <sheets>
    <sheet name="Option Pricer" sheetId="1" r:id="rId1"/>
  </sheets>
  <functionGroups builtInGroupCount="19"/>
  <externalReferences>
    <externalReference r:id="rId2"/>
  </externalReferences>
  <definedNames>
    <definedName name="call">[1]BSM!$H$3:$H$4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35" i="1" l="1"/>
  <c r="F30" i="1"/>
  <c r="E30" i="1"/>
  <c r="D30" i="1"/>
  <c r="D27" i="1"/>
  <c r="E27" i="1"/>
  <c r="F27" i="1"/>
  <c r="D26" i="1"/>
  <c r="E26" i="1"/>
  <c r="F26" i="1"/>
  <c r="C235" i="1"/>
  <c r="D235" i="1"/>
  <c r="E235" i="1"/>
  <c r="H235" i="1"/>
  <c r="I235" i="1"/>
  <c r="J235" i="1"/>
  <c r="K235" i="1"/>
  <c r="L235" i="1"/>
  <c r="M235" i="1"/>
  <c r="P235" i="1"/>
  <c r="Q235" i="1"/>
  <c r="R235" i="1"/>
  <c r="S235" i="1"/>
  <c r="T235" i="1"/>
  <c r="U235" i="1"/>
  <c r="X235" i="1"/>
  <c r="Y235" i="1"/>
  <c r="Z235" i="1"/>
  <c r="AA235" i="1"/>
  <c r="AB235" i="1"/>
  <c r="AC235" i="1"/>
  <c r="AF235" i="1"/>
  <c r="AG235" i="1"/>
  <c r="AH235" i="1"/>
  <c r="AI235" i="1"/>
  <c r="AJ235" i="1"/>
  <c r="AK235" i="1"/>
  <c r="AN235" i="1"/>
  <c r="AO235" i="1"/>
  <c r="AP235" i="1"/>
  <c r="C228" i="1"/>
  <c r="D228" i="1"/>
  <c r="E228" i="1"/>
  <c r="H228" i="1"/>
  <c r="I228" i="1"/>
  <c r="J228" i="1"/>
  <c r="K228" i="1"/>
  <c r="L228" i="1"/>
  <c r="M228" i="1"/>
  <c r="P228" i="1"/>
  <c r="Q228" i="1"/>
  <c r="R228" i="1"/>
  <c r="S228" i="1"/>
  <c r="T228" i="1"/>
  <c r="U228" i="1"/>
  <c r="X228" i="1"/>
  <c r="Y228" i="1"/>
  <c r="Z228" i="1"/>
  <c r="AA228" i="1"/>
  <c r="AB228" i="1"/>
  <c r="AC228" i="1"/>
  <c r="AF228" i="1"/>
  <c r="AG228" i="1"/>
  <c r="AH228" i="1"/>
  <c r="AI228" i="1"/>
  <c r="AJ228" i="1"/>
  <c r="AK228" i="1"/>
  <c r="AN228" i="1"/>
  <c r="AO228" i="1"/>
  <c r="AP228" i="1"/>
  <c r="B235" i="1"/>
  <c r="B228" i="1"/>
  <c r="V274" i="1"/>
  <c r="V281" i="1"/>
  <c r="V240" i="1"/>
  <c r="V247" i="1"/>
  <c r="V223" i="1"/>
  <c r="V230" i="1"/>
  <c r="AP273" i="1"/>
  <c r="AO273" i="1"/>
  <c r="AN273" i="1"/>
  <c r="AM273" i="1"/>
  <c r="AL273" i="1"/>
  <c r="AK273" i="1"/>
  <c r="AJ273" i="1"/>
  <c r="AI273" i="1"/>
  <c r="AH273" i="1"/>
  <c r="AG273" i="1"/>
  <c r="AF273" i="1"/>
  <c r="AE273" i="1"/>
  <c r="AD273" i="1"/>
  <c r="AC273" i="1"/>
  <c r="AB273" i="1"/>
  <c r="AA273" i="1"/>
  <c r="Z273" i="1"/>
  <c r="Y273" i="1"/>
  <c r="X273" i="1"/>
  <c r="W273" i="1"/>
  <c r="U273" i="1"/>
  <c r="T273" i="1"/>
  <c r="S273" i="1"/>
  <c r="R273" i="1"/>
  <c r="Q273" i="1"/>
  <c r="P273" i="1"/>
  <c r="O273" i="1"/>
  <c r="N273" i="1"/>
  <c r="M273" i="1"/>
  <c r="L273" i="1"/>
  <c r="K273" i="1"/>
  <c r="J273" i="1"/>
  <c r="I273" i="1"/>
  <c r="H273" i="1"/>
  <c r="G273" i="1"/>
  <c r="F273" i="1"/>
  <c r="E273" i="1"/>
  <c r="D273" i="1"/>
  <c r="C273" i="1"/>
  <c r="B273" i="1"/>
  <c r="AP256" i="1"/>
  <c r="AO256" i="1"/>
  <c r="AN256" i="1"/>
  <c r="AM256" i="1"/>
  <c r="AL256" i="1"/>
  <c r="AK256" i="1"/>
  <c r="AJ256" i="1"/>
  <c r="AI256" i="1"/>
  <c r="AH256" i="1"/>
  <c r="AG256" i="1"/>
  <c r="AF256" i="1"/>
  <c r="AE256" i="1"/>
  <c r="AD256" i="1"/>
  <c r="AC256" i="1"/>
  <c r="AB256" i="1"/>
  <c r="AA256" i="1"/>
  <c r="Z256" i="1"/>
  <c r="Y256" i="1"/>
  <c r="X256" i="1"/>
  <c r="W256" i="1"/>
  <c r="U256" i="1"/>
  <c r="T256" i="1"/>
  <c r="S256" i="1"/>
  <c r="R256" i="1"/>
  <c r="Q256" i="1"/>
  <c r="P256" i="1"/>
  <c r="O256" i="1"/>
  <c r="N256" i="1"/>
  <c r="M256" i="1"/>
  <c r="L256" i="1"/>
  <c r="K256" i="1"/>
  <c r="J256" i="1"/>
  <c r="I256" i="1"/>
  <c r="H256" i="1"/>
  <c r="G256" i="1"/>
  <c r="F256" i="1"/>
  <c r="E256" i="1"/>
  <c r="D256" i="1"/>
  <c r="C256" i="1"/>
  <c r="B256" i="1"/>
  <c r="AP239" i="1"/>
  <c r="AO239" i="1"/>
  <c r="AN239" i="1"/>
  <c r="AM239" i="1"/>
  <c r="AL239" i="1"/>
  <c r="AK239" i="1"/>
  <c r="AJ239" i="1"/>
  <c r="AI239" i="1"/>
  <c r="AH239" i="1"/>
  <c r="AG239" i="1"/>
  <c r="AF239" i="1"/>
  <c r="AE239" i="1"/>
  <c r="AD239" i="1"/>
  <c r="AC239" i="1"/>
  <c r="AB239" i="1"/>
  <c r="AA239" i="1"/>
  <c r="Z239" i="1"/>
  <c r="Y239" i="1"/>
  <c r="X239" i="1"/>
  <c r="W239" i="1"/>
  <c r="U239" i="1"/>
  <c r="T239" i="1"/>
  <c r="S239" i="1"/>
  <c r="R239" i="1"/>
  <c r="Q239" i="1"/>
  <c r="P239" i="1"/>
  <c r="O239" i="1"/>
  <c r="N239" i="1"/>
  <c r="M239" i="1"/>
  <c r="L239" i="1"/>
  <c r="K239" i="1"/>
  <c r="J239" i="1"/>
  <c r="I239" i="1"/>
  <c r="H239" i="1"/>
  <c r="G239" i="1"/>
  <c r="F239" i="1"/>
  <c r="E239" i="1"/>
  <c r="D239" i="1"/>
  <c r="C239" i="1"/>
  <c r="B239" i="1"/>
  <c r="AP222" i="1"/>
  <c r="AO222" i="1"/>
  <c r="AN222" i="1"/>
  <c r="AM222" i="1"/>
  <c r="AL222" i="1"/>
  <c r="AK222" i="1"/>
  <c r="AJ222" i="1"/>
  <c r="AI222" i="1"/>
  <c r="AH222" i="1"/>
  <c r="AG222" i="1"/>
  <c r="AF222" i="1"/>
  <c r="AE222" i="1"/>
  <c r="AD222" i="1"/>
  <c r="AC222" i="1"/>
  <c r="AB222" i="1"/>
  <c r="AA222" i="1"/>
  <c r="Z222" i="1"/>
  <c r="Y222" i="1"/>
  <c r="X222" i="1"/>
  <c r="W222" i="1"/>
  <c r="U222" i="1"/>
  <c r="T222" i="1"/>
  <c r="S222" i="1"/>
  <c r="R222" i="1"/>
  <c r="Q222" i="1"/>
  <c r="P222" i="1"/>
  <c r="O222" i="1"/>
  <c r="N222" i="1"/>
  <c r="M222" i="1"/>
  <c r="L222" i="1"/>
  <c r="K222" i="1"/>
  <c r="J222" i="1"/>
  <c r="I222" i="1"/>
  <c r="H222" i="1"/>
  <c r="G222" i="1"/>
  <c r="F222" i="1"/>
  <c r="E222" i="1"/>
  <c r="D222" i="1"/>
  <c r="C222" i="1"/>
  <c r="B222" i="1"/>
  <c r="AP205" i="1"/>
  <c r="AO205" i="1"/>
  <c r="AN205" i="1"/>
  <c r="AM205" i="1"/>
  <c r="AL205" i="1"/>
  <c r="AK205" i="1"/>
  <c r="AJ205" i="1"/>
  <c r="AI205" i="1"/>
  <c r="AH205" i="1"/>
  <c r="AG205" i="1"/>
  <c r="U205" i="1"/>
  <c r="T205" i="1"/>
  <c r="S205" i="1"/>
  <c r="R205" i="1"/>
  <c r="Q205" i="1"/>
  <c r="P205" i="1"/>
  <c r="O205" i="1"/>
  <c r="N205" i="1"/>
  <c r="M205" i="1"/>
  <c r="L205" i="1"/>
  <c r="K205" i="1"/>
  <c r="J205" i="1"/>
  <c r="I205" i="1"/>
  <c r="H205" i="1"/>
  <c r="G205" i="1"/>
  <c r="F205" i="1"/>
  <c r="E205" i="1"/>
  <c r="D205" i="1"/>
  <c r="C205" i="1"/>
  <c r="B205" i="1"/>
  <c r="F32" i="1"/>
  <c r="F31" i="1"/>
  <c r="F29" i="1"/>
  <c r="G29" i="1"/>
  <c r="V206" i="1"/>
  <c r="N274" i="1"/>
  <c r="N281" i="1"/>
  <c r="AF205" i="1"/>
  <c r="AE205" i="1"/>
  <c r="AD205" i="1"/>
  <c r="AD206" i="1"/>
  <c r="AD211" i="1"/>
  <c r="AC205" i="1"/>
  <c r="AB205" i="1"/>
  <c r="AA205" i="1"/>
  <c r="Z205" i="1"/>
  <c r="Z206" i="1"/>
  <c r="Z213" i="1"/>
  <c r="Z218" i="1"/>
  <c r="Y205" i="1"/>
  <c r="X205" i="1"/>
  <c r="W205" i="1"/>
  <c r="F10" i="1"/>
  <c r="E10" i="1"/>
  <c r="D10" i="1"/>
  <c r="V213" i="1"/>
  <c r="V218" i="1"/>
  <c r="J206" i="1"/>
  <c r="J211" i="1"/>
  <c r="E32" i="1"/>
  <c r="D32" i="1"/>
  <c r="E31" i="1"/>
  <c r="D31" i="1"/>
  <c r="E29" i="1"/>
  <c r="D29" i="1"/>
  <c r="Y274" i="1"/>
  <c r="Y281" i="1"/>
  <c r="Q274" i="1"/>
  <c r="Q281" i="1"/>
  <c r="I274" i="1"/>
  <c r="I281" i="1"/>
  <c r="AL257" i="1"/>
  <c r="AL264" i="1"/>
  <c r="E257" i="1"/>
  <c r="E264" i="1"/>
  <c r="Z274" i="1"/>
  <c r="Z281" i="1"/>
  <c r="K206" i="1"/>
  <c r="K213" i="1"/>
  <c r="K218" i="1"/>
  <c r="M223" i="1"/>
  <c r="M230" i="1"/>
  <c r="O223" i="1"/>
  <c r="O230" i="1"/>
  <c r="W223" i="1"/>
  <c r="W230" i="1"/>
  <c r="AE223" i="1"/>
  <c r="AE230" i="1"/>
  <c r="G240" i="1"/>
  <c r="G247" i="1"/>
  <c r="B223" i="1"/>
  <c r="B230" i="1"/>
  <c r="AJ223" i="1"/>
  <c r="AJ230" i="1"/>
  <c r="M240" i="1"/>
  <c r="M247" i="1"/>
  <c r="AJ206" i="1"/>
  <c r="AJ213" i="1"/>
  <c r="AJ218" i="1"/>
  <c r="AA257" i="1"/>
  <c r="AA264" i="1"/>
  <c r="AH274" i="1"/>
  <c r="AH281" i="1"/>
  <c r="AD213" i="1"/>
  <c r="AD218" i="1"/>
  <c r="AA240" i="1"/>
  <c r="AA247" i="1"/>
  <c r="S240" i="1"/>
  <c r="S247" i="1"/>
  <c r="J240" i="1"/>
  <c r="J247" i="1"/>
  <c r="AI223" i="1"/>
  <c r="AI230" i="1"/>
  <c r="Y223" i="1"/>
  <c r="Y230" i="1"/>
  <c r="P223" i="1"/>
  <c r="P230" i="1"/>
  <c r="G206" i="1"/>
  <c r="S223" i="1"/>
  <c r="S230" i="1"/>
  <c r="K223" i="1"/>
  <c r="K230" i="1"/>
  <c r="T206" i="1"/>
  <c r="T213" i="1"/>
  <c r="T218" i="1"/>
  <c r="E206" i="1"/>
  <c r="E211" i="1"/>
  <c r="AG240" i="1"/>
  <c r="AG247" i="1"/>
  <c r="AO240" i="1"/>
  <c r="AO247" i="1"/>
  <c r="U257" i="1"/>
  <c r="U264" i="1"/>
  <c r="B274" i="1"/>
  <c r="B281" i="1"/>
  <c r="K274" i="1"/>
  <c r="K281" i="1"/>
  <c r="AK274" i="1"/>
  <c r="AK281" i="1"/>
  <c r="AF257" i="1"/>
  <c r="AF264" i="1"/>
  <c r="X274" i="1"/>
  <c r="X281" i="1"/>
  <c r="AP206" i="1"/>
  <c r="AP213" i="1"/>
  <c r="AP218" i="1"/>
  <c r="AL240" i="1"/>
  <c r="AL247" i="1"/>
  <c r="F257" i="1"/>
  <c r="F264" i="1"/>
  <c r="W257" i="1"/>
  <c r="W264" i="1"/>
  <c r="AE257" i="1"/>
  <c r="AE264" i="1"/>
  <c r="AM257" i="1"/>
  <c r="AM264" i="1"/>
  <c r="AB274" i="1"/>
  <c r="AB281" i="1"/>
  <c r="Y240" i="1"/>
  <c r="Y247" i="1"/>
  <c r="AG223" i="1"/>
  <c r="AG230" i="1"/>
  <c r="AB240" i="1"/>
  <c r="AB247" i="1"/>
  <c r="AH223" i="1"/>
  <c r="AH230" i="1"/>
  <c r="AM206" i="1"/>
  <c r="AM211" i="1"/>
  <c r="P257" i="1"/>
  <c r="P264" i="1"/>
  <c r="Z257" i="1"/>
  <c r="Z264" i="1"/>
  <c r="AJ257" i="1"/>
  <c r="AJ264" i="1"/>
  <c r="P274" i="1"/>
  <c r="P281" i="1"/>
  <c r="W274" i="1"/>
  <c r="W281" i="1"/>
  <c r="AE274" i="1"/>
  <c r="AE281" i="1"/>
  <c r="AF223" i="1"/>
  <c r="AF230" i="1"/>
  <c r="G257" i="1"/>
  <c r="G264" i="1"/>
  <c r="AD240" i="1"/>
  <c r="AD247" i="1"/>
  <c r="AP240" i="1"/>
  <c r="AP247" i="1"/>
  <c r="H257" i="1"/>
  <c r="H264" i="1"/>
  <c r="Y257" i="1"/>
  <c r="Y264" i="1"/>
  <c r="AP274" i="1"/>
  <c r="AP281" i="1"/>
  <c r="B206" i="1"/>
  <c r="B213" i="1"/>
  <c r="B218" i="1"/>
  <c r="I206" i="1"/>
  <c r="I213" i="1"/>
  <c r="I218" i="1"/>
  <c r="AN223" i="1"/>
  <c r="AN230" i="1"/>
  <c r="G274" i="1"/>
  <c r="G281" i="1"/>
  <c r="Z211" i="1"/>
  <c r="T211" i="1"/>
  <c r="AJ211" i="1"/>
  <c r="G213" i="1"/>
  <c r="G218" i="1"/>
  <c r="G211" i="1"/>
  <c r="I211" i="1"/>
  <c r="B211" i="1"/>
  <c r="AM213" i="1"/>
  <c r="AM218" i="1"/>
  <c r="AO274" i="1"/>
  <c r="AO281" i="1"/>
  <c r="AC223" i="1"/>
  <c r="AC230" i="1"/>
  <c r="P240" i="1"/>
  <c r="P247" i="1"/>
  <c r="H274" i="1"/>
  <c r="H281" i="1"/>
  <c r="AF240" i="1"/>
  <c r="AF247" i="1"/>
  <c r="O274" i="1"/>
  <c r="O281" i="1"/>
  <c r="F206" i="1"/>
  <c r="F213" i="1"/>
  <c r="F218" i="1"/>
  <c r="AL206" i="1"/>
  <c r="AL211" i="1"/>
  <c r="X257" i="1"/>
  <c r="X264" i="1"/>
  <c r="F211" i="1"/>
  <c r="K211" i="1"/>
  <c r="E213" i="1"/>
  <c r="E218" i="1"/>
  <c r="O257" i="1"/>
  <c r="N257" i="1"/>
  <c r="AM274" i="1"/>
  <c r="AM281" i="1"/>
  <c r="C274" i="1"/>
  <c r="C281" i="1"/>
  <c r="D257" i="1"/>
  <c r="F274" i="1"/>
  <c r="F281" i="1"/>
  <c r="M257" i="1"/>
  <c r="S206" i="1"/>
  <c r="AN240" i="1"/>
  <c r="L257" i="1"/>
  <c r="D223" i="1"/>
  <c r="AK206" i="1"/>
  <c r="AP223" i="1"/>
  <c r="X240" i="1"/>
  <c r="V211" i="1"/>
  <c r="AP257" i="1"/>
  <c r="AG274" i="1"/>
  <c r="AG281" i="1"/>
  <c r="J213" i="1"/>
  <c r="J218" i="1"/>
  <c r="AB223" i="1"/>
  <c r="AC240" i="1"/>
  <c r="C257" i="1"/>
  <c r="AH257" i="1"/>
  <c r="T274" i="1"/>
  <c r="T281" i="1"/>
  <c r="AA274" i="1"/>
  <c r="AA281" i="1"/>
  <c r="V257" i="1"/>
  <c r="AM228" i="1"/>
  <c r="AE228" i="1"/>
  <c r="W228" i="1"/>
  <c r="O228" i="1"/>
  <c r="G228" i="1"/>
  <c r="AM235" i="1"/>
  <c r="AE235" i="1"/>
  <c r="W235" i="1"/>
  <c r="O235" i="1"/>
  <c r="G235" i="1"/>
  <c r="AL213" i="1"/>
  <c r="AL218" i="1"/>
  <c r="R274" i="1"/>
  <c r="R281" i="1"/>
  <c r="AF274" i="1"/>
  <c r="AF281" i="1"/>
  <c r="Q223" i="1"/>
  <c r="K240" i="1"/>
  <c r="N223" i="1"/>
  <c r="I240" i="1"/>
  <c r="D206" i="1"/>
  <c r="AP211" i="1"/>
  <c r="AE206" i="1"/>
  <c r="D240" i="1"/>
  <c r="L274" i="1"/>
  <c r="L281" i="1"/>
  <c r="J257" i="1"/>
  <c r="F240" i="1"/>
  <c r="R223" i="1"/>
  <c r="AI206" i="1"/>
  <c r="AC257" i="1"/>
  <c r="Q257" i="1"/>
  <c r="X206" i="1"/>
  <c r="AN274" i="1"/>
  <c r="AN281" i="1"/>
  <c r="O206" i="1"/>
  <c r="F223" i="1"/>
  <c r="AI240" i="1"/>
  <c r="AD257" i="1"/>
  <c r="AL228" i="1"/>
  <c r="AD228" i="1"/>
  <c r="V228" i="1"/>
  <c r="N228" i="1"/>
  <c r="F228" i="1"/>
  <c r="AL235" i="1"/>
  <c r="AD235" i="1"/>
  <c r="V235" i="1"/>
  <c r="N235" i="1"/>
  <c r="L206" i="1"/>
  <c r="B240" i="1"/>
  <c r="K257" i="1"/>
  <c r="AI274" i="1"/>
  <c r="AI281" i="1"/>
  <c r="AC206" i="1"/>
  <c r="J274" i="1"/>
  <c r="J281" i="1"/>
  <c r="P206" i="1"/>
  <c r="Z223" i="1"/>
  <c r="Q240" i="1"/>
  <c r="U223" i="1"/>
  <c r="R240" i="1"/>
  <c r="AL274" i="1"/>
  <c r="AL281" i="1"/>
  <c r="W206" i="1"/>
  <c r="N240" i="1"/>
  <c r="H206" i="1"/>
  <c r="D274" i="1"/>
  <c r="D281" i="1"/>
  <c r="AH240" i="1"/>
  <c r="W240" i="1"/>
  <c r="AK223" i="1"/>
  <c r="J223" i="1"/>
  <c r="AH206" i="1"/>
  <c r="E274" i="1"/>
  <c r="E281" i="1"/>
  <c r="AM240" i="1"/>
  <c r="AB257" i="1"/>
  <c r="Y206" i="1"/>
  <c r="U206" i="1"/>
  <c r="X223" i="1"/>
  <c r="Z240" i="1"/>
  <c r="AE240" i="1"/>
  <c r="AI257" i="1"/>
  <c r="AN257" i="1"/>
  <c r="C223" i="1"/>
  <c r="G223" i="1"/>
  <c r="H240" i="1"/>
  <c r="T240" i="1"/>
  <c r="S257" i="1"/>
  <c r="M206" i="1"/>
  <c r="R206" i="1"/>
  <c r="AN206" i="1"/>
  <c r="L223" i="1"/>
  <c r="O240" i="1"/>
  <c r="AK240" i="1"/>
  <c r="B257" i="1"/>
  <c r="AG257" i="1"/>
  <c r="M274" i="1"/>
  <c r="M281" i="1"/>
  <c r="U240" i="1"/>
  <c r="AO257" i="1"/>
  <c r="S274" i="1"/>
  <c r="S281" i="1"/>
  <c r="AF206" i="1"/>
  <c r="AD274" i="1"/>
  <c r="AD281" i="1"/>
  <c r="AG206" i="1"/>
  <c r="I223" i="1"/>
  <c r="C240" i="1"/>
  <c r="E223" i="1"/>
  <c r="AM223" i="1"/>
  <c r="AB206" i="1"/>
  <c r="C206" i="1"/>
  <c r="AC274" i="1"/>
  <c r="AC281" i="1"/>
  <c r="AL223" i="1"/>
  <c r="U274" i="1"/>
  <c r="U281" i="1"/>
  <c r="R257" i="1"/>
  <c r="Q206" i="1"/>
  <c r="L240" i="1"/>
  <c r="AA223" i="1"/>
  <c r="AD223" i="1"/>
  <c r="AJ240" i="1"/>
  <c r="AJ274" i="1"/>
  <c r="AJ281" i="1"/>
  <c r="I257" i="1"/>
  <c r="AA206" i="1"/>
  <c r="N206" i="1"/>
  <c r="AO206" i="1"/>
  <c r="H223" i="1"/>
  <c r="T223" i="1"/>
  <c r="AO223" i="1"/>
  <c r="E240" i="1"/>
  <c r="T257" i="1"/>
  <c r="AK257" i="1"/>
  <c r="AO230" i="1"/>
  <c r="AJ247" i="1"/>
  <c r="AK247" i="1"/>
  <c r="H247" i="1"/>
  <c r="U211" i="1"/>
  <c r="U213" i="1"/>
  <c r="W247" i="1"/>
  <c r="U230" i="1"/>
  <c r="B247" i="1"/>
  <c r="X211" i="1"/>
  <c r="X213" i="1"/>
  <c r="D247" i="1"/>
  <c r="L264" i="1"/>
  <c r="N264" i="1"/>
  <c r="T230" i="1"/>
  <c r="AD230" i="1"/>
  <c r="C213" i="1"/>
  <c r="C211" i="1"/>
  <c r="AF211" i="1"/>
  <c r="AF213" i="1"/>
  <c r="O247" i="1"/>
  <c r="G230" i="1"/>
  <c r="Y211" i="1"/>
  <c r="Y213" i="1"/>
  <c r="AH247" i="1"/>
  <c r="Q247" i="1"/>
  <c r="L213" i="1"/>
  <c r="L211" i="1"/>
  <c r="Q264" i="1"/>
  <c r="AE211" i="1"/>
  <c r="AE213" i="1"/>
  <c r="V264" i="1"/>
  <c r="AN247" i="1"/>
  <c r="O264" i="1"/>
  <c r="H230" i="1"/>
  <c r="AA230" i="1"/>
  <c r="AB211" i="1"/>
  <c r="AB213" i="1"/>
  <c r="L230" i="1"/>
  <c r="C230" i="1"/>
  <c r="AB264" i="1"/>
  <c r="Z230" i="1"/>
  <c r="AC264" i="1"/>
  <c r="AP264" i="1"/>
  <c r="S213" i="1"/>
  <c r="S211" i="1"/>
  <c r="AO211" i="1"/>
  <c r="AO213" i="1"/>
  <c r="L247" i="1"/>
  <c r="AM230" i="1"/>
  <c r="AO264" i="1"/>
  <c r="AN211" i="1"/>
  <c r="AN213" i="1"/>
  <c r="AN264" i="1"/>
  <c r="AM247" i="1"/>
  <c r="H211" i="1"/>
  <c r="H213" i="1"/>
  <c r="P211" i="1"/>
  <c r="P213" i="1"/>
  <c r="AD264" i="1"/>
  <c r="AI211" i="1"/>
  <c r="AI213" i="1"/>
  <c r="D213" i="1"/>
  <c r="D211" i="1"/>
  <c r="M264" i="1"/>
  <c r="N213" i="1"/>
  <c r="N211" i="1"/>
  <c r="Q213" i="1"/>
  <c r="Q211" i="1"/>
  <c r="E230" i="1"/>
  <c r="U247" i="1"/>
  <c r="R213" i="1"/>
  <c r="R211" i="1"/>
  <c r="AI264" i="1"/>
  <c r="N247" i="1"/>
  <c r="AI247" i="1"/>
  <c r="R230" i="1"/>
  <c r="I247" i="1"/>
  <c r="AH264" i="1"/>
  <c r="X247" i="1"/>
  <c r="AK264" i="1"/>
  <c r="AA211" i="1"/>
  <c r="AA213" i="1"/>
  <c r="R264" i="1"/>
  <c r="C247" i="1"/>
  <c r="M211" i="1"/>
  <c r="M213" i="1"/>
  <c r="AE247" i="1"/>
  <c r="AH211" i="1"/>
  <c r="AH213" i="1"/>
  <c r="W211" i="1"/>
  <c r="W213" i="1"/>
  <c r="AC211" i="1"/>
  <c r="AC213" i="1"/>
  <c r="F230" i="1"/>
  <c r="F247" i="1"/>
  <c r="N230" i="1"/>
  <c r="C264" i="1"/>
  <c r="AP230" i="1"/>
  <c r="D264" i="1"/>
  <c r="T264" i="1"/>
  <c r="I264" i="1"/>
  <c r="I230" i="1"/>
  <c r="AG264" i="1"/>
  <c r="S264" i="1"/>
  <c r="Z247" i="1"/>
  <c r="J230" i="1"/>
  <c r="O213" i="1"/>
  <c r="O211" i="1"/>
  <c r="J264" i="1"/>
  <c r="K247" i="1"/>
  <c r="AC247" i="1"/>
  <c r="AK213" i="1"/>
  <c r="AK211" i="1"/>
  <c r="E247" i="1"/>
  <c r="AL230" i="1"/>
  <c r="AG213" i="1"/>
  <c r="AG211" i="1"/>
  <c r="B264" i="1"/>
  <c r="T247" i="1"/>
  <c r="X230" i="1"/>
  <c r="AK230" i="1"/>
  <c r="R247" i="1"/>
  <c r="K264" i="1"/>
  <c r="Q230" i="1"/>
  <c r="AB230" i="1"/>
  <c r="D230" i="1"/>
  <c r="X218" i="1"/>
  <c r="H218" i="1"/>
  <c r="C218" i="1"/>
  <c r="AO218" i="1"/>
  <c r="D218" i="1"/>
  <c r="AC218" i="1"/>
  <c r="U218" i="1"/>
  <c r="AG218" i="1"/>
  <c r="AN218" i="1"/>
  <c r="S218" i="1"/>
  <c r="AA218" i="1"/>
  <c r="P218" i="1"/>
  <c r="AK218" i="1"/>
  <c r="R218" i="1"/>
  <c r="Y218" i="1"/>
  <c r="M218" i="1"/>
  <c r="AE218" i="1"/>
  <c r="AI218" i="1"/>
  <c r="AB218" i="1"/>
  <c r="O218" i="1"/>
  <c r="W218" i="1"/>
  <c r="Q218" i="1"/>
  <c r="AF218" i="1"/>
  <c r="AH218" i="1"/>
  <c r="N218" i="1"/>
  <c r="L218" i="1"/>
  <c r="H267" i="1"/>
  <c r="AD250" i="1"/>
  <c r="X267" i="1"/>
  <c r="E266" i="1"/>
  <c r="AE226" i="1"/>
  <c r="AJ266" i="1"/>
  <c r="W267" i="1"/>
  <c r="AA258" i="1"/>
  <c r="F260" i="1"/>
  <c r="B234" i="1"/>
  <c r="AM265" i="1"/>
  <c r="AG234" i="1"/>
  <c r="V227" i="1"/>
  <c r="AP249" i="1"/>
  <c r="W266" i="1"/>
  <c r="AF259" i="1"/>
  <c r="AF268" i="1"/>
  <c r="AE224" i="1"/>
  <c r="G250" i="1"/>
  <c r="V231" i="1"/>
  <c r="AL265" i="1"/>
  <c r="K242" i="1"/>
  <c r="C244" i="1"/>
  <c r="AO261" i="1"/>
  <c r="AH242" i="1"/>
  <c r="P250" i="1"/>
  <c r="AF225" i="1"/>
  <c r="AC241" i="1"/>
  <c r="AE241" i="1"/>
  <c r="AN261" i="1"/>
  <c r="H268" i="1"/>
  <c r="D225" i="1"/>
  <c r="AH261" i="1"/>
  <c r="O243" i="1"/>
  <c r="P261" i="1"/>
  <c r="D260" i="1"/>
  <c r="AA227" i="1"/>
  <c r="AN232" i="1"/>
  <c r="M260" i="1"/>
  <c r="AJ250" i="1"/>
  <c r="U248" i="1"/>
  <c r="AP231" i="1"/>
  <c r="AM249" i="1"/>
  <c r="O265" i="1"/>
  <c r="J258" i="1"/>
  <c r="H243" i="1"/>
  <c r="D266" i="1"/>
  <c r="L250" i="1"/>
  <c r="E232" i="1"/>
  <c r="AO234" i="1"/>
  <c r="Q243" i="1"/>
  <c r="B249" i="1"/>
  <c r="AB266" i="1"/>
  <c r="R268" i="1"/>
  <c r="P244" i="1"/>
  <c r="AA233" i="1"/>
  <c r="T233" i="1"/>
  <c r="Q226" i="1"/>
  <c r="AA249" i="1"/>
  <c r="AP268" i="1"/>
  <c r="AP234" i="1"/>
  <c r="X233" i="1"/>
  <c r="AK248" i="1"/>
  <c r="K283" i="1"/>
  <c r="P242" i="1"/>
  <c r="E268" i="1"/>
  <c r="U258" i="1"/>
  <c r="F20" i="1"/>
  <c r="Y249" i="1"/>
  <c r="X258" i="1"/>
  <c r="E21" i="1"/>
  <c r="AJ233" i="1"/>
  <c r="W258" i="1"/>
  <c r="S249" i="1"/>
  <c r="AL267" i="1"/>
  <c r="K224" i="1"/>
  <c r="M234" i="1"/>
  <c r="H261" i="1"/>
  <c r="S233" i="1"/>
  <c r="M233" i="1"/>
  <c r="AG251" i="1"/>
  <c r="K231" i="1"/>
  <c r="S232" i="1"/>
  <c r="P241" i="1"/>
  <c r="AE233" i="1"/>
  <c r="J259" i="1"/>
  <c r="R261" i="1"/>
  <c r="AM225" i="1"/>
  <c r="G225" i="1"/>
  <c r="AJ265" i="1"/>
  <c r="O234" i="1"/>
  <c r="K241" i="1"/>
  <c r="C242" i="1"/>
  <c r="AO259" i="1"/>
  <c r="AG233" i="1"/>
  <c r="AA268" i="1"/>
  <c r="M251" i="1"/>
  <c r="AA251" i="1"/>
  <c r="G249" i="1"/>
  <c r="P233" i="1"/>
  <c r="G242" i="1"/>
  <c r="D18" i="1"/>
  <c r="AI231" i="1"/>
  <c r="AD243" i="1"/>
  <c r="AO251" i="1"/>
  <c r="AA260" i="1"/>
  <c r="D21" i="1"/>
  <c r="AN233" i="1"/>
  <c r="V250" i="1"/>
  <c r="AP248" i="1"/>
  <c r="G265" i="1"/>
  <c r="B231" i="1"/>
  <c r="W231" i="1"/>
  <c r="AO248" i="1"/>
  <c r="Q225" i="1"/>
  <c r="I227" i="1"/>
  <c r="R224" i="1"/>
  <c r="AB259" i="1"/>
  <c r="L259" i="1"/>
  <c r="K225" i="1"/>
  <c r="AB225" i="1"/>
  <c r="AG260" i="1"/>
  <c r="I241" i="1"/>
  <c r="Z226" i="1"/>
  <c r="AP241" i="1"/>
  <c r="K244" i="1"/>
  <c r="AO258" i="1"/>
  <c r="W242" i="1"/>
  <c r="AB227" i="1"/>
  <c r="I244" i="1"/>
  <c r="AD227" i="1"/>
  <c r="D227" i="1"/>
  <c r="O241" i="1"/>
  <c r="AP267" i="1"/>
  <c r="AG265" i="1"/>
  <c r="T266" i="1"/>
  <c r="C231" i="1"/>
  <c r="R249" i="1"/>
  <c r="AI259" i="1"/>
  <c r="AJ249" i="1"/>
  <c r="U251" i="1"/>
  <c r="AP232" i="1"/>
  <c r="AM248" i="1"/>
  <c r="C20" i="1"/>
  <c r="AJ251" i="1"/>
  <c r="C249" i="1"/>
  <c r="AC265" i="1"/>
  <c r="R233" i="1"/>
  <c r="L243" i="1"/>
  <c r="AG268" i="1"/>
  <c r="AO232" i="1"/>
  <c r="U250" i="1"/>
  <c r="E224" i="1"/>
  <c r="U249" i="1"/>
  <c r="E233" i="1"/>
  <c r="C21" i="1"/>
  <c r="AK267" i="1"/>
  <c r="Y241" i="1"/>
  <c r="AE268" i="1"/>
  <c r="Y261" i="1"/>
  <c r="V251" i="1"/>
  <c r="AA243" i="1"/>
  <c r="M241" i="1"/>
  <c r="AE232" i="1"/>
  <c r="AJ261" i="1"/>
  <c r="G244" i="1"/>
  <c r="AB242" i="1"/>
  <c r="AB248" i="1"/>
  <c r="Y244" i="1"/>
  <c r="AA241" i="1"/>
  <c r="X265" i="1"/>
  <c r="AN226" i="1"/>
  <c r="P260" i="1"/>
  <c r="AN234" i="1"/>
  <c r="M232" i="1"/>
  <c r="AA266" i="1"/>
  <c r="J248" i="1"/>
  <c r="AO244" i="1"/>
  <c r="X225" i="1"/>
  <c r="AP224" i="1"/>
  <c r="U244" i="1"/>
  <c r="H224" i="1"/>
  <c r="W241" i="1"/>
  <c r="AO242" i="1"/>
  <c r="AK225" i="1"/>
  <c r="D259" i="1"/>
  <c r="AI260" i="1"/>
  <c r="AA225" i="1"/>
  <c r="O227" i="1"/>
  <c r="T260" i="1"/>
  <c r="L227" i="1"/>
  <c r="AG249" i="1"/>
  <c r="AL225" i="1"/>
  <c r="AD258" i="1"/>
  <c r="B241" i="1"/>
  <c r="S258" i="1"/>
  <c r="AK244" i="1"/>
  <c r="D265" i="1"/>
  <c r="L249" i="1"/>
  <c r="E231" i="1"/>
  <c r="AO231" i="1"/>
  <c r="AF227" i="1"/>
  <c r="AA224" i="1"/>
  <c r="D249" i="1"/>
  <c r="V266" i="1"/>
  <c r="R232" i="1"/>
  <c r="D234" i="1"/>
  <c r="AC242" i="1"/>
  <c r="AD266" i="1"/>
  <c r="AM250" i="1"/>
  <c r="E243" i="1"/>
  <c r="X248" i="1"/>
  <c r="H242" i="1"/>
  <c r="AK233" i="1"/>
  <c r="O268" i="1"/>
  <c r="Q232" i="1"/>
  <c r="D243" i="1"/>
  <c r="AE251" i="1"/>
  <c r="F231" i="1"/>
  <c r="Q251" i="1"/>
  <c r="AA282" i="1"/>
  <c r="K284" i="1"/>
  <c r="F21" i="1"/>
  <c r="AO241" i="1"/>
  <c r="B226" i="1"/>
  <c r="K233" i="1"/>
  <c r="AF248" i="1"/>
  <c r="U265" i="1"/>
  <c r="Y248" i="1"/>
  <c r="Y226" i="1"/>
  <c r="E267" i="1"/>
  <c r="G267" i="1"/>
  <c r="AL244" i="1"/>
  <c r="AD248" i="1"/>
  <c r="AC227" i="1"/>
  <c r="AG243" i="1"/>
  <c r="AP250" i="1"/>
  <c r="K226" i="1"/>
  <c r="U268" i="1"/>
  <c r="AB251" i="1"/>
  <c r="AI226" i="1"/>
  <c r="S242" i="1"/>
  <c r="P259" i="1"/>
  <c r="B259" i="1"/>
  <c r="N226" i="1"/>
  <c r="M261" i="1"/>
  <c r="AN244" i="1"/>
  <c r="W268" i="1"/>
  <c r="AN224" i="1"/>
  <c r="T242" i="1"/>
  <c r="C258" i="1"/>
  <c r="E225" i="1"/>
  <c r="O259" i="1"/>
  <c r="S226" i="1"/>
  <c r="AP243" i="1"/>
  <c r="W259" i="1"/>
  <c r="AF265" i="1"/>
  <c r="AG250" i="1"/>
  <c r="AC234" i="1"/>
  <c r="AC224" i="1"/>
  <c r="AG227" i="1"/>
  <c r="AF267" i="1"/>
  <c r="Y259" i="1"/>
  <c r="O226" i="1"/>
  <c r="P258" i="1"/>
  <c r="AJ259" i="1"/>
  <c r="M244" i="1"/>
  <c r="Z259" i="1"/>
  <c r="Z266" i="1"/>
  <c r="AC233" i="1"/>
  <c r="W225" i="1"/>
  <c r="F268" i="1"/>
  <c r="AG231" i="1"/>
  <c r="AP244" i="1"/>
  <c r="AN231" i="1"/>
  <c r="AL224" i="1"/>
  <c r="F242" i="1"/>
  <c r="AD261" i="1"/>
  <c r="V261" i="1"/>
  <c r="F23" i="1"/>
  <c r="AM266" i="1"/>
  <c r="B258" i="1"/>
  <c r="N224" i="1"/>
  <c r="M259" i="1"/>
  <c r="AN241" i="1"/>
  <c r="AL268" i="1"/>
  <c r="F224" i="1"/>
  <c r="Q260" i="1"/>
  <c r="V244" i="1"/>
  <c r="Z244" i="1"/>
  <c r="AP260" i="1"/>
  <c r="AK243" i="1"/>
  <c r="C243" i="1"/>
  <c r="S268" i="1"/>
  <c r="G231" i="1"/>
  <c r="AK231" i="1"/>
  <c r="AB231" i="1"/>
  <c r="AK266" i="1"/>
  <c r="AB226" i="1"/>
  <c r="AD226" i="1"/>
  <c r="AD265" i="1"/>
  <c r="T248" i="1"/>
  <c r="Q231" i="1"/>
  <c r="X250" i="1"/>
  <c r="AI243" i="1"/>
  <c r="I251" i="1"/>
  <c r="AD233" i="1"/>
  <c r="AJ244" i="1"/>
  <c r="R250" i="1"/>
  <c r="AJ248" i="1"/>
  <c r="C248" i="1"/>
  <c r="AO265" i="1"/>
  <c r="AC250" i="1"/>
  <c r="H231" i="1"/>
  <c r="C265" i="1"/>
  <c r="X251" i="1"/>
  <c r="W248" i="1"/>
  <c r="AM282" i="1"/>
  <c r="W234" i="1"/>
  <c r="AA242" i="1"/>
  <c r="U261" i="1"/>
  <c r="X260" i="1"/>
  <c r="Z261" i="1"/>
  <c r="Y266" i="1"/>
  <c r="Z267" i="1"/>
  <c r="AL248" i="1"/>
  <c r="W227" i="1"/>
  <c r="AE231" i="1"/>
  <c r="AH225" i="1"/>
  <c r="V224" i="1"/>
  <c r="AL243" i="1"/>
  <c r="O225" i="1"/>
  <c r="S261" i="1"/>
  <c r="AM243" i="1"/>
  <c r="D241" i="1"/>
  <c r="AJ268" i="1"/>
  <c r="T258" i="1"/>
  <c r="AP259" i="1"/>
  <c r="AM259" i="1"/>
  <c r="N241" i="1"/>
  <c r="AK242" i="1"/>
  <c r="J260" i="1"/>
  <c r="V258" i="1"/>
  <c r="R244" i="1"/>
  <c r="AN251" i="1"/>
  <c r="B266" i="1"/>
  <c r="Q234" i="1"/>
  <c r="M266" i="1"/>
  <c r="D261" i="1"/>
  <c r="Q250" i="1"/>
  <c r="AG267" i="1"/>
  <c r="J265" i="1"/>
  <c r="J243" i="1"/>
  <c r="K265" i="1"/>
  <c r="N233" i="1"/>
  <c r="N266" i="1"/>
  <c r="J232" i="1"/>
  <c r="AH267" i="1"/>
  <c r="AE250" i="1"/>
  <c r="AN249" i="1"/>
  <c r="R231" i="1"/>
  <c r="I226" i="1"/>
  <c r="O283" i="1"/>
  <c r="F284" i="1"/>
  <c r="X284" i="1"/>
  <c r="Q282" i="1"/>
  <c r="Y285" i="1"/>
  <c r="V285" i="1"/>
  <c r="W233" i="1"/>
  <c r="G266" i="1"/>
  <c r="Y267" i="1"/>
  <c r="G251" i="1"/>
  <c r="AD241" i="1"/>
  <c r="AI234" i="1"/>
  <c r="Y242" i="1"/>
  <c r="AJ258" i="1"/>
  <c r="P267" i="1"/>
  <c r="AI232" i="1"/>
  <c r="P225" i="1"/>
  <c r="AH226" i="1"/>
  <c r="W260" i="1"/>
  <c r="AG258" i="1"/>
  <c r="AN258" i="1"/>
  <c r="B244" i="1"/>
  <c r="AN227" i="1"/>
  <c r="AP226" i="1"/>
  <c r="AC261" i="1"/>
  <c r="AC225" i="1"/>
  <c r="U242" i="1"/>
  <c r="AJ242" i="1"/>
  <c r="AG259" i="1"/>
  <c r="Q242" i="1"/>
  <c r="B261" i="1"/>
  <c r="H234" i="1"/>
  <c r="U234" i="1"/>
  <c r="N267" i="1"/>
  <c r="N234" i="1"/>
  <c r="F241" i="1"/>
  <c r="AM231" i="1"/>
  <c r="B251" i="1"/>
  <c r="AB233" i="1"/>
  <c r="G241" i="1"/>
  <c r="B265" i="1"/>
  <c r="O267" i="1"/>
  <c r="AB234" i="1"/>
  <c r="AM234" i="1"/>
  <c r="K251" i="1"/>
  <c r="C267" i="1"/>
  <c r="Q249" i="1"/>
  <c r="T265" i="1"/>
  <c r="AM241" i="1"/>
  <c r="S250" i="1"/>
  <c r="P231" i="1"/>
  <c r="B227" i="1"/>
  <c r="AF261" i="1"/>
  <c r="E259" i="1"/>
  <c r="G261" i="1"/>
  <c r="AF224" i="1"/>
  <c r="H259" i="1"/>
  <c r="M243" i="1"/>
  <c r="O232" i="1"/>
  <c r="P266" i="1"/>
  <c r="Y225" i="1"/>
  <c r="O231" i="1"/>
  <c r="T261" i="1"/>
  <c r="AP261" i="1"/>
  <c r="H241" i="1"/>
  <c r="D224" i="1"/>
  <c r="F227" i="1"/>
  <c r="C227" i="1"/>
  <c r="Q227" i="1"/>
  <c r="AM242" i="1"/>
  <c r="F259" i="1"/>
  <c r="C261" i="1"/>
  <c r="G226" i="1"/>
  <c r="T259" i="1"/>
  <c r="Q248" i="1"/>
  <c r="AE248" i="1"/>
  <c r="I265" i="1"/>
  <c r="AI265" i="1"/>
  <c r="I243" i="1"/>
  <c r="AA234" i="1"/>
  <c r="Z232" i="1"/>
  <c r="L233" i="1"/>
  <c r="I260" i="1"/>
  <c r="L251" i="1"/>
  <c r="Z248" i="1"/>
  <c r="X231" i="1"/>
  <c r="AD268" i="1"/>
  <c r="F248" i="1"/>
  <c r="I267" i="1"/>
  <c r="R265" i="1"/>
  <c r="N268" i="1"/>
  <c r="AP265" i="1"/>
  <c r="E258" i="1"/>
  <c r="Y224" i="1"/>
  <c r="P248" i="1"/>
  <c r="H258" i="1"/>
  <c r="AF266" i="1"/>
  <c r="X268" i="1"/>
  <c r="F265" i="1"/>
  <c r="AH231" i="1"/>
  <c r="J244" i="1"/>
  <c r="M250" i="1"/>
  <c r="AA265" i="1"/>
  <c r="O233" i="1"/>
  <c r="Z268" i="1"/>
  <c r="C259" i="1"/>
  <c r="Z225" i="1"/>
  <c r="AG248" i="1"/>
  <c r="K261" i="1"/>
  <c r="AK259" i="1"/>
  <c r="H225" i="1"/>
  <c r="X226" i="1"/>
  <c r="AC260" i="1"/>
  <c r="V241" i="1"/>
  <c r="AE243" i="1"/>
  <c r="N259" i="1"/>
  <c r="AH260" i="1"/>
  <c r="H250" i="1"/>
  <c r="B250" i="1"/>
  <c r="T231" i="1"/>
  <c r="AC268" i="1"/>
  <c r="AM224" i="1"/>
  <c r="AI248" i="1"/>
  <c r="AK234" i="1"/>
  <c r="F232" i="1"/>
  <c r="AN260" i="1"/>
  <c r="AK232" i="1"/>
  <c r="E249" i="1"/>
  <c r="AF231" i="1"/>
  <c r="K267" i="1"/>
  <c r="M265" i="1"/>
  <c r="AI267" i="1"/>
  <c r="AL233" i="1"/>
  <c r="AB232" i="1"/>
  <c r="U233" i="1"/>
  <c r="AI283" i="1"/>
  <c r="W285" i="1"/>
  <c r="Z285" i="1"/>
  <c r="T283" i="1"/>
  <c r="D285" i="1"/>
  <c r="AL283" i="1"/>
  <c r="AK282" i="1"/>
  <c r="U284" i="1"/>
  <c r="J282" i="1"/>
  <c r="B282" i="1"/>
  <c r="W276" i="1"/>
  <c r="G278" i="1"/>
  <c r="F277" i="1"/>
  <c r="AN275" i="1"/>
  <c r="X277" i="1"/>
  <c r="AH275" i="1"/>
  <c r="Y275" i="1"/>
  <c r="I277" i="1"/>
  <c r="AG278" i="1"/>
  <c r="AL278" i="1"/>
  <c r="AF226" i="1"/>
  <c r="AA259" i="1"/>
  <c r="AE267" i="1"/>
  <c r="Z265" i="1"/>
  <c r="G243" i="1"/>
  <c r="G258" i="1"/>
  <c r="AM268" i="1"/>
  <c r="P227" i="1"/>
  <c r="E265" i="1"/>
  <c r="AJ260" i="1"/>
  <c r="AG241" i="1"/>
  <c r="AE227" i="1"/>
  <c r="K258" i="1"/>
  <c r="AK261" i="1"/>
  <c r="AA226" i="1"/>
  <c r="AG242" i="1"/>
  <c r="AL226" i="1"/>
  <c r="R226" i="1"/>
  <c r="S225" i="1"/>
  <c r="J227" i="1"/>
  <c r="AN242" i="1"/>
  <c r="C18" i="1"/>
  <c r="AI241" i="1"/>
  <c r="H244" i="1"/>
  <c r="AC258" i="1"/>
  <c r="AD267" i="1"/>
  <c r="C268" i="1"/>
  <c r="F234" i="1"/>
  <c r="G248" i="1"/>
  <c r="AH243" i="1"/>
  <c r="K268" i="1"/>
  <c r="L265" i="1"/>
  <c r="C233" i="1"/>
  <c r="W243" i="1"/>
  <c r="AN268" i="1"/>
  <c r="Q259" i="1"/>
  <c r="J226" i="1"/>
  <c r="B248" i="1"/>
  <c r="AC267" i="1"/>
  <c r="T244" i="1"/>
  <c r="I234" i="1"/>
  <c r="C232" i="1"/>
  <c r="T267" i="1"/>
  <c r="K282" i="1"/>
  <c r="G284" i="1"/>
  <c r="AI285" i="1"/>
  <c r="H282" i="1"/>
  <c r="AF283" i="1"/>
  <c r="P285" i="1"/>
  <c r="AH284" i="1"/>
  <c r="I283" i="1"/>
  <c r="AG284" i="1"/>
  <c r="F283" i="1"/>
  <c r="K275" i="1"/>
  <c r="AI276" i="1"/>
  <c r="S278" i="1"/>
  <c r="F278" i="1"/>
  <c r="L276" i="1"/>
  <c r="AJ277" i="1"/>
  <c r="AD276" i="1"/>
  <c r="AK275" i="1"/>
  <c r="U277" i="1"/>
  <c r="F275" i="1"/>
  <c r="B276" i="1"/>
  <c r="U259" i="1"/>
  <c r="AI224" i="1"/>
  <c r="AF260" i="1"/>
  <c r="AM260" i="1"/>
  <c r="W265" i="1"/>
  <c r="M225" i="1"/>
  <c r="X259" i="1"/>
  <c r="AJ224" i="1"/>
  <c r="AI227" i="1"/>
  <c r="AF244" i="1"/>
  <c r="S243" i="1"/>
  <c r="AE266" i="1"/>
  <c r="AK227" i="1"/>
  <c r="AH258" i="1"/>
  <c r="Q261" i="1"/>
  <c r="V226" i="1"/>
  <c r="J261" i="1"/>
  <c r="N244" i="1"/>
  <c r="S248" i="1"/>
  <c r="I225" i="1"/>
  <c r="G227" i="1"/>
  <c r="AJ226" i="1"/>
  <c r="E227" i="1"/>
  <c r="AO226" i="1"/>
  <c r="AN243" i="1"/>
  <c r="R267" i="1"/>
  <c r="N251" i="1"/>
  <c r="D232" i="1"/>
  <c r="AF251" i="1"/>
  <c r="B243" i="1"/>
  <c r="I248" i="1"/>
  <c r="Q266" i="1"/>
  <c r="AC248" i="1"/>
  <c r="S267" i="1"/>
  <c r="T232" i="1"/>
  <c r="H248" i="1"/>
  <c r="AK258" i="1"/>
  <c r="Z234" i="1"/>
  <c r="P224" i="1"/>
  <c r="C260" i="1"/>
  <c r="V265" i="1"/>
  <c r="AK268" i="1"/>
  <c r="L234" i="1"/>
  <c r="K234" i="1"/>
  <c r="AB243" i="1"/>
  <c r="AO243" i="1"/>
  <c r="E20" i="1"/>
  <c r="P243" i="1"/>
  <c r="AA261" i="1"/>
  <c r="V234" i="1"/>
  <c r="AL250" i="1"/>
  <c r="S244" i="1"/>
  <c r="AD242" i="1"/>
  <c r="AC232" i="1"/>
  <c r="F22" i="1"/>
  <c r="AL251" i="1"/>
  <c r="E244" i="1"/>
  <c r="AI244" i="1"/>
  <c r="O244" i="1"/>
  <c r="AE261" i="1"/>
  <c r="Z242" i="1"/>
  <c r="AD259" i="1"/>
  <c r="Y268" i="1"/>
  <c r="N225" i="1"/>
  <c r="N258" i="1"/>
  <c r="K260" i="1"/>
  <c r="AM227" i="1"/>
  <c r="AE265" i="1"/>
  <c r="N261" i="1"/>
  <c r="K266" i="1"/>
  <c r="O251" i="1"/>
  <c r="X249" i="1"/>
  <c r="K232" i="1"/>
  <c r="AN250" i="1"/>
  <c r="I232" i="1"/>
  <c r="T268" i="1"/>
  <c r="M267" i="1"/>
  <c r="AM233" i="1"/>
  <c r="K250" i="1"/>
  <c r="I233" i="1"/>
  <c r="H226" i="1"/>
  <c r="Q267" i="1"/>
  <c r="AB258" i="1"/>
  <c r="AP258" i="1"/>
  <c r="AH251" i="1"/>
  <c r="Z250" i="1"/>
  <c r="E251" i="1"/>
  <c r="AE282" i="1"/>
  <c r="AA284" i="1"/>
  <c r="AL282" i="1"/>
  <c r="X282" i="1"/>
  <c r="H284" i="1"/>
  <c r="AF285" i="1"/>
  <c r="AP285" i="1"/>
  <c r="Y283" i="1"/>
  <c r="I285" i="1"/>
  <c r="N284" i="1"/>
  <c r="AA275" i="1"/>
  <c r="K277" i="1"/>
  <c r="AI278" i="1"/>
  <c r="D275" i="1"/>
  <c r="AB276" i="1"/>
  <c r="L278" i="1"/>
  <c r="AP277" i="1"/>
  <c r="M276" i="1"/>
  <c r="AK277" i="1"/>
  <c r="J276" i="1"/>
  <c r="AE284" i="1"/>
  <c r="L284" i="1"/>
  <c r="AC283" i="1"/>
  <c r="Z284" i="1"/>
  <c r="AM261" i="1"/>
  <c r="AG244" i="1"/>
  <c r="Y258" i="1"/>
  <c r="Y250" i="1"/>
  <c r="AF250" i="1"/>
  <c r="AJ232" i="1"/>
  <c r="B233" i="1"/>
  <c r="Y231" i="1"/>
  <c r="J249" i="1"/>
  <c r="Y227" i="1"/>
  <c r="D23" i="1"/>
  <c r="Z260" i="1"/>
  <c r="W226" i="1"/>
  <c r="AC244" i="1"/>
  <c r="N243" i="1"/>
  <c r="AD225" i="1"/>
  <c r="AF249" i="1"/>
  <c r="S260" i="1"/>
  <c r="AM244" i="1"/>
  <c r="K227" i="1"/>
  <c r="C241" i="1"/>
  <c r="L258" i="1"/>
  <c r="AK224" i="1"/>
  <c r="Z224" i="1"/>
  <c r="AH227" i="1"/>
  <c r="D244" i="1"/>
  <c r="I249" i="1"/>
  <c r="Q265" i="1"/>
  <c r="F250" i="1"/>
  <c r="AK226" i="1"/>
  <c r="S265" i="1"/>
  <c r="B268" i="1"/>
  <c r="N265" i="1"/>
  <c r="AK265" i="1"/>
  <c r="D248" i="1"/>
  <c r="F251" i="1"/>
  <c r="V268" i="1"/>
  <c r="G224" i="1"/>
  <c r="AN266" i="1"/>
  <c r="U226" i="1"/>
  <c r="O261" i="1"/>
  <c r="AK249" i="1"/>
  <c r="AC266" i="1"/>
  <c r="AI282" i="1"/>
  <c r="J283" i="1"/>
  <c r="AB282" i="1"/>
  <c r="AJ285" i="1"/>
  <c r="E282" i="1"/>
  <c r="M285" i="1"/>
  <c r="Y251" i="1"/>
  <c r="AM258" i="1"/>
  <c r="AA248" i="1"/>
  <c r="P265" i="1"/>
  <c r="F18" i="1"/>
  <c r="C23" i="1"/>
  <c r="X266" i="1"/>
  <c r="P226" i="1"/>
  <c r="AA267" i="1"/>
  <c r="AP242" i="1"/>
  <c r="S241" i="1"/>
  <c r="AH234" i="1"/>
  <c r="AE234" i="1"/>
  <c r="J225" i="1"/>
  <c r="AI258" i="1"/>
  <c r="T227" i="1"/>
  <c r="AI233" i="1"/>
  <c r="I224" i="1"/>
  <c r="AM226" i="1"/>
  <c r="C22" i="1"/>
  <c r="AK260" i="1"/>
  <c r="B242" i="1"/>
  <c r="T243" i="1"/>
  <c r="C225" i="1"/>
  <c r="AO249" i="1"/>
  <c r="W244" i="1"/>
  <c r="W249" i="1"/>
  <c r="R234" i="1"/>
  <c r="AC251" i="1"/>
  <c r="AL227" i="1"/>
  <c r="H233" i="1"/>
  <c r="U232" i="1"/>
  <c r="AN265" i="1"/>
  <c r="N232" i="1"/>
  <c r="AA231" i="1"/>
  <c r="AO233" i="1"/>
  <c r="AH250" i="1"/>
  <c r="L261" i="1"/>
  <c r="J266" i="1"/>
  <c r="AB244" i="1"/>
  <c r="W224" i="1"/>
  <c r="M224" i="1"/>
  <c r="AL249" i="1"/>
  <c r="H266" i="1"/>
  <c r="F258" i="1"/>
  <c r="J241" i="1"/>
  <c r="S251" i="1"/>
  <c r="Y234" i="1"/>
  <c r="F267" i="1"/>
  <c r="AF233" i="1"/>
  <c r="AH224" i="1"/>
  <c r="AC231" i="1"/>
  <c r="Z241" i="1"/>
  <c r="E226" i="1"/>
  <c r="N260" i="1"/>
  <c r="AE259" i="1"/>
  <c r="I261" i="1"/>
  <c r="L241" i="1"/>
  <c r="E23" i="1"/>
  <c r="R227" i="1"/>
  <c r="U224" i="1"/>
  <c r="AC243" i="1"/>
  <c r="O258" i="1"/>
  <c r="AD249" i="1"/>
  <c r="AO227" i="1"/>
  <c r="I231" i="1"/>
  <c r="C250" i="1"/>
  <c r="AB268" i="1"/>
  <c r="AG261" i="1"/>
  <c r="J231" i="1"/>
  <c r="AE249" i="1"/>
  <c r="I266" i="1"/>
  <c r="X232" i="1"/>
  <c r="AI249" i="1"/>
  <c r="M268" i="1"/>
  <c r="N250" i="1"/>
  <c r="S266" i="1"/>
  <c r="AM251" i="1"/>
  <c r="AL234" i="1"/>
  <c r="AK241" i="1"/>
  <c r="O249" i="1"/>
  <c r="R248" i="1"/>
  <c r="G283" i="1"/>
  <c r="AM284" i="1"/>
  <c r="AH283" i="1"/>
  <c r="AJ282" i="1"/>
  <c r="T284" i="1"/>
  <c r="F282" i="1"/>
  <c r="M282" i="1"/>
  <c r="AK283" i="1"/>
  <c r="U285" i="1"/>
  <c r="J285" i="1"/>
  <c r="AM275" i="1"/>
  <c r="W277" i="1"/>
  <c r="V275" i="1"/>
  <c r="P275" i="1"/>
  <c r="AN276" i="1"/>
  <c r="X278" i="1"/>
  <c r="AH278" i="1"/>
  <c r="Y276" i="1"/>
  <c r="I278" i="1"/>
  <c r="J277" i="1"/>
  <c r="C285" i="1"/>
  <c r="AN282" i="1"/>
  <c r="R282" i="1"/>
  <c r="AO283" i="1"/>
  <c r="S227" i="1"/>
  <c r="AE258" i="1"/>
  <c r="U267" i="1"/>
  <c r="G259" i="1"/>
  <c r="F261" i="1"/>
  <c r="M227" i="1"/>
  <c r="AC259" i="1"/>
  <c r="J224" i="1"/>
  <c r="E242" i="1"/>
  <c r="F243" i="1"/>
  <c r="Q241" i="1"/>
  <c r="AH265" i="1"/>
  <c r="AP266" i="1"/>
  <c r="AB265" i="1"/>
  <c r="R225" i="1"/>
  <c r="AB267" i="1"/>
  <c r="W251" i="1"/>
  <c r="D233" i="1"/>
  <c r="AE283" i="1"/>
  <c r="V283" i="1"/>
  <c r="AB283" i="1"/>
  <c r="AP282" i="1"/>
  <c r="Q283" i="1"/>
  <c r="AO285" i="1"/>
  <c r="AE275" i="1"/>
  <c r="AI277" i="1"/>
  <c r="AH277" i="1"/>
  <c r="AF276" i="1"/>
  <c r="AJ278" i="1"/>
  <c r="AG275" i="1"/>
  <c r="AO277" i="1"/>
  <c r="AL277" i="1"/>
  <c r="X261" i="1"/>
  <c r="D284" i="1"/>
  <c r="R283" i="1"/>
  <c r="F266" i="1"/>
  <c r="B232" i="1"/>
  <c r="P268" i="1"/>
  <c r="O224" i="1"/>
  <c r="AA244" i="1"/>
  <c r="C226" i="1"/>
  <c r="F244" i="1"/>
  <c r="S259" i="1"/>
  <c r="R259" i="1"/>
  <c r="J233" i="1"/>
  <c r="K248" i="1"/>
  <c r="R266" i="1"/>
  <c r="K259" i="1"/>
  <c r="H232" i="1"/>
  <c r="N231" i="1"/>
  <c r="U231" i="1"/>
  <c r="AM283" i="1"/>
  <c r="R284" i="1"/>
  <c r="AJ283" i="1"/>
  <c r="N283" i="1"/>
  <c r="U283" i="1"/>
  <c r="V282" i="1"/>
  <c r="AI275" i="1"/>
  <c r="AM277" i="1"/>
  <c r="R278" i="1"/>
  <c r="AJ276" i="1"/>
  <c r="AN278" i="1"/>
  <c r="AO275" i="1"/>
  <c r="E278" i="1"/>
  <c r="J278" i="1"/>
  <c r="AL242" i="1"/>
  <c r="O260" i="1"/>
  <c r="M258" i="1"/>
  <c r="D250" i="1"/>
  <c r="G233" i="1"/>
  <c r="F233" i="1"/>
  <c r="AP284" i="1"/>
  <c r="E284" i="1"/>
  <c r="G276" i="1"/>
  <c r="AP278" i="1"/>
  <c r="H277" i="1"/>
  <c r="F276" i="1"/>
  <c r="I276" i="1"/>
  <c r="Q278" i="1"/>
  <c r="B278" i="1"/>
  <c r="F225" i="1"/>
  <c r="Q233" i="1"/>
  <c r="AL259" i="1"/>
  <c r="P249" i="1"/>
  <c r="AL241" i="1"/>
  <c r="V232" i="1"/>
  <c r="U266" i="1"/>
  <c r="L224" i="1"/>
  <c r="R258" i="1"/>
  <c r="AP225" i="1"/>
  <c r="X244" i="1"/>
  <c r="AM232" i="1"/>
  <c r="AD231" i="1"/>
  <c r="AL231" i="1"/>
  <c r="AE244" i="1"/>
  <c r="G232" i="1"/>
  <c r="AI268" i="1"/>
  <c r="T249" i="1"/>
  <c r="C284" i="1"/>
  <c r="AD284" i="1"/>
  <c r="AN283" i="1"/>
  <c r="Z283" i="1"/>
  <c r="AG283" i="1"/>
  <c r="AH282" i="1"/>
  <c r="C276" i="1"/>
  <c r="C278" i="1"/>
  <c r="AD278" i="1"/>
  <c r="D277" i="1"/>
  <c r="J275" i="1"/>
  <c r="E276" i="1"/>
  <c r="M278" i="1"/>
  <c r="V278" i="1"/>
  <c r="AD244" i="1"/>
  <c r="J251" i="1"/>
  <c r="X242" i="1"/>
  <c r="AI261" i="1"/>
  <c r="X234" i="1"/>
  <c r="C224" i="1"/>
  <c r="R251" i="1"/>
  <c r="N249" i="1"/>
  <c r="O284" i="1"/>
  <c r="J284" i="1"/>
  <c r="K278" i="1"/>
  <c r="AF243" i="1"/>
  <c r="V243" i="1"/>
  <c r="P234" i="1"/>
  <c r="H260" i="1"/>
  <c r="M242" i="1"/>
  <c r="M248" i="1"/>
  <c r="Q244" i="1"/>
  <c r="AH259" i="1"/>
  <c r="L244" i="1"/>
  <c r="AN259" i="1"/>
  <c r="AA232" i="1"/>
  <c r="Z249" i="1"/>
  <c r="W250" i="1"/>
  <c r="T224" i="1"/>
  <c r="Z251" i="1"/>
  <c r="S231" i="1"/>
  <c r="AD251" i="1"/>
  <c r="M231" i="1"/>
  <c r="AB250" i="1"/>
  <c r="D226" i="1"/>
  <c r="U225" i="1"/>
  <c r="AI242" i="1"/>
  <c r="AB261" i="1"/>
  <c r="AH241" i="1"/>
  <c r="AI251" i="1"/>
  <c r="AO268" i="1"/>
  <c r="AH248" i="1"/>
  <c r="AO224" i="1"/>
  <c r="AG225" i="1"/>
  <c r="AN248" i="1"/>
  <c r="I268" i="1"/>
  <c r="W284" i="1"/>
  <c r="AL285" i="1"/>
  <c r="AB284" i="1"/>
  <c r="F285" i="1"/>
  <c r="M284" i="1"/>
  <c r="AP283" i="1"/>
  <c r="O276" i="1"/>
  <c r="W278" i="1"/>
  <c r="L275" i="1"/>
  <c r="P277" i="1"/>
  <c r="AP276" i="1"/>
  <c r="U276" i="1"/>
  <c r="Y278" i="1"/>
  <c r="B275" i="1"/>
  <c r="AB249" i="1"/>
  <c r="Y243" i="1"/>
  <c r="E260" i="1"/>
  <c r="AB224" i="1"/>
  <c r="Y260" i="1"/>
  <c r="U241" i="1"/>
  <c r="H227" i="1"/>
  <c r="T226" i="1"/>
  <c r="AL232" i="1"/>
  <c r="E248" i="1"/>
  <c r="C266" i="1"/>
  <c r="J234" i="1"/>
  <c r="X224" i="1"/>
  <c r="O250" i="1"/>
  <c r="L232" i="1"/>
  <c r="AI284" i="1"/>
  <c r="D282" i="1"/>
  <c r="AF284" i="1"/>
  <c r="R285" i="1"/>
  <c r="Q284" i="1"/>
  <c r="AL284" i="1"/>
  <c r="S276" i="1"/>
  <c r="AA278" i="1"/>
  <c r="T275" i="1"/>
  <c r="T277" i="1"/>
  <c r="N277" i="1"/>
  <c r="AC276" i="1"/>
  <c r="AC278" i="1"/>
  <c r="AJ225" i="1"/>
  <c r="D20" i="1"/>
  <c r="AA250" i="1"/>
  <c r="AE260" i="1"/>
  <c r="AE225" i="1"/>
  <c r="I259" i="1"/>
  <c r="AF242" i="1"/>
  <c r="V260" i="1"/>
  <c r="AO225" i="1"/>
  <c r="AJ241" i="1"/>
  <c r="AH249" i="1"/>
  <c r="R260" i="1"/>
  <c r="O248" i="1"/>
  <c r="L266" i="1"/>
  <c r="D251" i="1"/>
  <c r="E18" i="1"/>
  <c r="O266" i="1"/>
  <c r="O282" i="1"/>
  <c r="O285" i="1"/>
  <c r="T282" i="1"/>
  <c r="H285" i="1"/>
  <c r="U282" i="1"/>
  <c r="AK284" i="1"/>
  <c r="B284" i="1"/>
  <c r="AM276" i="1"/>
  <c r="N275" i="1"/>
  <c r="AF275" i="1"/>
  <c r="AN277" i="1"/>
  <c r="Z278" i="1"/>
  <c r="AO276" i="1"/>
  <c r="R275" i="1"/>
  <c r="Z275" i="1"/>
  <c r="AN267" i="1"/>
  <c r="AB285" i="1"/>
  <c r="S277" i="1"/>
  <c r="Q275" i="1"/>
  <c r="AF241" i="1"/>
  <c r="AJ267" i="1"/>
  <c r="AM267" i="1"/>
  <c r="AO250" i="1"/>
  <c r="D258" i="1"/>
  <c r="AP251" i="1"/>
  <c r="Q258" i="1"/>
  <c r="W261" i="1"/>
  <c r="AF234" i="1"/>
  <c r="Z231" i="1"/>
  <c r="AD260" i="1"/>
  <c r="C251" i="1"/>
  <c r="Q268" i="1"/>
  <c r="AI250" i="1"/>
  <c r="Z243" i="1"/>
  <c r="E250" i="1"/>
  <c r="S282" i="1"/>
  <c r="S285" i="1"/>
  <c r="AF282" i="1"/>
  <c r="L285" i="1"/>
  <c r="Y282" i="1"/>
  <c r="AO284" i="1"/>
  <c r="B283" i="1"/>
  <c r="C277" i="1"/>
  <c r="AD275" i="1"/>
  <c r="AJ275" i="1"/>
  <c r="D278" i="1"/>
  <c r="E275" i="1"/>
  <c r="E277" i="1"/>
  <c r="W232" i="1"/>
  <c r="E261" i="1"/>
  <c r="K249" i="1"/>
  <c r="H251" i="1"/>
  <c r="L283" i="1"/>
  <c r="O275" i="1"/>
  <c r="Z276" i="1"/>
  <c r="Y277" i="1"/>
  <c r="V242" i="1"/>
  <c r="V233" i="1"/>
  <c r="G268" i="1"/>
  <c r="B225" i="1"/>
  <c r="M226" i="1"/>
  <c r="F226" i="1"/>
  <c r="Y265" i="1"/>
  <c r="J242" i="1"/>
  <c r="AL261" i="1"/>
  <c r="K243" i="1"/>
  <c r="AK251" i="1"/>
  <c r="Z227" i="1"/>
  <c r="T234" i="1"/>
  <c r="J268" i="1"/>
  <c r="I250" i="1"/>
  <c r="X243" i="1"/>
  <c r="AD224" i="1"/>
  <c r="W282" i="1"/>
  <c r="AA285" i="1"/>
  <c r="D283" i="1"/>
  <c r="T285" i="1"/>
  <c r="AC282" i="1"/>
  <c r="E285" i="1"/>
  <c r="C275" i="1"/>
  <c r="G277" i="1"/>
  <c r="AP275" i="1"/>
  <c r="D276" i="1"/>
  <c r="H278" i="1"/>
  <c r="I275" i="1"/>
  <c r="M277" i="1"/>
  <c r="AL275" i="1"/>
  <c r="C283" i="1"/>
  <c r="X285" i="1"/>
  <c r="Q285" i="1"/>
  <c r="N276" i="1"/>
  <c r="P278" i="1"/>
  <c r="Q277" i="1"/>
  <c r="V249" i="1"/>
  <c r="Y232" i="1"/>
  <c r="R241" i="1"/>
  <c r="N242" i="1"/>
  <c r="AI266" i="1"/>
  <c r="T251" i="1"/>
  <c r="S283" i="1"/>
  <c r="AO282" i="1"/>
  <c r="P276" i="1"/>
  <c r="AL276" i="1"/>
  <c r="AJ231" i="1"/>
  <c r="J250" i="1"/>
  <c r="AG224" i="1"/>
  <c r="U260" i="1"/>
  <c r="AF232" i="1"/>
  <c r="AE242" i="1"/>
  <c r="Q224" i="1"/>
  <c r="AH232" i="1"/>
  <c r="D22" i="1"/>
  <c r="N227" i="1"/>
  <c r="L267" i="1"/>
  <c r="V259" i="1"/>
  <c r="AH266" i="1"/>
  <c r="AH268" i="1"/>
  <c r="B267" i="1"/>
  <c r="O242" i="1"/>
  <c r="D267" i="1"/>
  <c r="AE285" i="1"/>
  <c r="H283" i="1"/>
  <c r="AG282" i="1"/>
  <c r="G275" i="1"/>
  <c r="O277" i="1"/>
  <c r="H276" i="1"/>
  <c r="M275" i="1"/>
  <c r="V276" i="1"/>
  <c r="AL266" i="1"/>
  <c r="G260" i="1"/>
  <c r="X241" i="1"/>
  <c r="AH233" i="1"/>
  <c r="L260" i="1"/>
  <c r="L248" i="1"/>
  <c r="AM285" i="1"/>
  <c r="AC285" i="1"/>
  <c r="AJ234" i="1"/>
  <c r="L242" i="1"/>
  <c r="L225" i="1"/>
  <c r="AF258" i="1"/>
  <c r="AA283" i="1"/>
  <c r="V284" i="1"/>
  <c r="AA276" i="1"/>
  <c r="AF277" i="1"/>
  <c r="AO278" i="1"/>
  <c r="H249" i="1"/>
  <c r="AC249" i="1"/>
  <c r="AB241" i="1"/>
  <c r="M249" i="1"/>
  <c r="V267" i="1"/>
  <c r="AP227" i="1"/>
  <c r="S284" i="1"/>
  <c r="AD285" i="1"/>
  <c r="AE276" i="1"/>
  <c r="T278" i="1"/>
  <c r="R277" i="1"/>
  <c r="R276" i="1"/>
  <c r="N278" i="1"/>
  <c r="H265" i="1"/>
  <c r="AC226" i="1"/>
  <c r="T250" i="1"/>
  <c r="U243" i="1"/>
  <c r="G285" i="1"/>
  <c r="I282" i="1"/>
  <c r="AA277" i="1"/>
  <c r="AB278" i="1"/>
  <c r="Z277" i="1"/>
  <c r="B277" i="1"/>
  <c r="AD277" i="1"/>
  <c r="N248" i="1"/>
  <c r="V248" i="1"/>
  <c r="X227" i="1"/>
  <c r="J267" i="1"/>
  <c r="L268" i="1"/>
  <c r="K285" i="1"/>
  <c r="E283" i="1"/>
  <c r="AE277" i="1"/>
  <c r="AF278" i="1"/>
  <c r="G234" i="1"/>
  <c r="Y233" i="1"/>
  <c r="E241" i="1"/>
  <c r="L231" i="1"/>
  <c r="AD232" i="1"/>
  <c r="N282" i="1"/>
  <c r="M283" i="1"/>
  <c r="O278" i="1"/>
  <c r="AC275" i="1"/>
  <c r="E22" i="1"/>
  <c r="AB260" i="1"/>
  <c r="AG226" i="1"/>
  <c r="C234" i="1"/>
  <c r="Z282" i="1"/>
  <c r="I284" i="1"/>
  <c r="AE278" i="1"/>
  <c r="P232" i="1"/>
  <c r="P282" i="1"/>
  <c r="Z258" i="1"/>
  <c r="X275" i="1"/>
  <c r="S224" i="1"/>
  <c r="L226" i="1"/>
  <c r="V225" i="1"/>
  <c r="AO266" i="1"/>
  <c r="N285" i="1"/>
  <c r="Y284" i="1"/>
  <c r="AM278" i="1"/>
  <c r="AG285" i="1"/>
  <c r="T225" i="1"/>
  <c r="AG276" i="1"/>
  <c r="AJ227" i="1"/>
  <c r="R243" i="1"/>
  <c r="AJ243" i="1"/>
  <c r="D268" i="1"/>
  <c r="L282" i="1"/>
  <c r="AC284" i="1"/>
  <c r="AH276" i="1"/>
  <c r="U275" i="1"/>
  <c r="V277" i="1"/>
  <c r="AD283" i="1"/>
  <c r="B260" i="1"/>
  <c r="X283" i="1"/>
  <c r="S234" i="1"/>
  <c r="AH244" i="1"/>
  <c r="AK250" i="1"/>
  <c r="D231" i="1"/>
  <c r="P283" i="1"/>
  <c r="AK285" i="1"/>
  <c r="H275" i="1"/>
  <c r="Q276" i="1"/>
  <c r="B224" i="1"/>
  <c r="AI225" i="1"/>
  <c r="AD234" i="1"/>
  <c r="AP233" i="1"/>
  <c r="P284" i="1"/>
  <c r="AH285" i="1"/>
  <c r="AB275" i="1"/>
  <c r="AK276" i="1"/>
  <c r="E234" i="1"/>
  <c r="AJ284" i="1"/>
  <c r="T276" i="1"/>
  <c r="AL258" i="1"/>
  <c r="AN225" i="1"/>
  <c r="I258" i="1"/>
  <c r="F249" i="1"/>
  <c r="B285" i="1"/>
  <c r="AC277" i="1"/>
  <c r="AG232" i="1"/>
  <c r="R242" i="1"/>
  <c r="D242" i="1"/>
  <c r="AG266" i="1"/>
  <c r="C282" i="1"/>
  <c r="AN284" i="1"/>
  <c r="S275" i="1"/>
  <c r="X276" i="1"/>
  <c r="AG277" i="1"/>
  <c r="W275" i="1"/>
  <c r="U278" i="1"/>
  <c r="AO267" i="1"/>
  <c r="W283" i="1"/>
  <c r="AB277" i="1"/>
  <c r="AL260" i="1"/>
  <c r="T241" i="1"/>
  <c r="U227" i="1"/>
  <c r="Z233" i="1"/>
  <c r="G282" i="1"/>
  <c r="AN285" i="1"/>
  <c r="L277" i="1"/>
  <c r="AO260" i="1"/>
  <c r="AD282" i="1"/>
  <c r="AK278" i="1"/>
  <c r="P251" i="1"/>
  <c r="I242" i="1"/>
  <c r="K276" i="1"/>
  <c r="AD287" i="1" l="1"/>
  <c r="G287" i="1"/>
  <c r="T246" i="1"/>
  <c r="W280" i="1"/>
  <c r="S280" i="1"/>
  <c r="C287" i="1"/>
  <c r="I263" i="1"/>
  <c r="AL263" i="1"/>
  <c r="AB280" i="1"/>
  <c r="B229" i="1"/>
  <c r="H280" i="1"/>
  <c r="D236" i="1"/>
  <c r="U280" i="1"/>
  <c r="L287" i="1"/>
  <c r="S229" i="1"/>
  <c r="X280" i="1"/>
  <c r="Z263" i="1"/>
  <c r="P287" i="1"/>
  <c r="Z287" i="1"/>
  <c r="AC280" i="1"/>
  <c r="N287" i="1"/>
  <c r="L236" i="1"/>
  <c r="E246" i="1"/>
  <c r="V253" i="1"/>
  <c r="N253" i="1"/>
  <c r="I287" i="1"/>
  <c r="H270" i="1"/>
  <c r="AB246" i="1"/>
  <c r="AF263" i="1"/>
  <c r="L253" i="1"/>
  <c r="X246" i="1"/>
  <c r="M280" i="1"/>
  <c r="G280" i="1"/>
  <c r="AG287" i="1"/>
  <c r="Q229" i="1"/>
  <c r="AG229" i="1"/>
  <c r="AJ236" i="1"/>
  <c r="AO287" i="1"/>
  <c r="R246" i="1"/>
  <c r="AL280" i="1"/>
  <c r="I280" i="1"/>
  <c r="AP280" i="1"/>
  <c r="C280" i="1"/>
  <c r="AC287" i="1"/>
  <c r="W287" i="1"/>
  <c r="AD229" i="1"/>
  <c r="Y270" i="1"/>
  <c r="O280" i="1"/>
  <c r="E280" i="1"/>
  <c r="AJ280" i="1"/>
  <c r="AD280" i="1"/>
  <c r="Y287" i="1"/>
  <c r="AF287" i="1"/>
  <c r="S287" i="1"/>
  <c r="Z236" i="1"/>
  <c r="Q263" i="1"/>
  <c r="D263" i="1"/>
  <c r="AF246" i="1"/>
  <c r="Q280" i="1"/>
  <c r="Z280" i="1"/>
  <c r="R280" i="1"/>
  <c r="AF280" i="1"/>
  <c r="N280" i="1"/>
  <c r="U287" i="1"/>
  <c r="T287" i="1"/>
  <c r="O287" i="1"/>
  <c r="O253" i="1"/>
  <c r="AJ246" i="1"/>
  <c r="T280" i="1"/>
  <c r="D287" i="1"/>
  <c r="X229" i="1"/>
  <c r="E253" i="1"/>
  <c r="U246" i="1"/>
  <c r="AB229" i="1"/>
  <c r="B280" i="1"/>
  <c r="L280" i="1"/>
  <c r="AN253" i="1"/>
  <c r="AO229" i="1"/>
  <c r="AH253" i="1"/>
  <c r="AH246" i="1"/>
  <c r="M236" i="1"/>
  <c r="S236" i="1"/>
  <c r="T229" i="1"/>
  <c r="M253" i="1"/>
  <c r="C229" i="1"/>
  <c r="J280" i="1"/>
  <c r="AH287" i="1"/>
  <c r="AL236" i="1"/>
  <c r="AD236" i="1"/>
  <c r="R263" i="1"/>
  <c r="L229" i="1"/>
  <c r="AL246" i="1"/>
  <c r="M263" i="1"/>
  <c r="AO280" i="1"/>
  <c r="AI280" i="1"/>
  <c r="V287" i="1"/>
  <c r="U236" i="1"/>
  <c r="N236" i="1"/>
  <c r="K253" i="1"/>
  <c r="O229" i="1"/>
  <c r="AG280" i="1"/>
  <c r="AE280" i="1"/>
  <c r="AP287" i="1"/>
  <c r="AB270" i="1"/>
  <c r="AH270" i="1"/>
  <c r="Q246" i="1"/>
  <c r="J229" i="1"/>
  <c r="AE263" i="1"/>
  <c r="R287" i="1"/>
  <c r="AN287" i="1"/>
  <c r="P280" i="1"/>
  <c r="V280" i="1"/>
  <c r="AM280" i="1"/>
  <c r="M287" i="1"/>
  <c r="F287" i="1"/>
  <c r="AJ287" i="1"/>
  <c r="R253" i="1"/>
  <c r="AK246" i="1"/>
  <c r="J236" i="1"/>
  <c r="I236" i="1"/>
  <c r="O263" i="1"/>
  <c r="U229" i="1"/>
  <c r="L246" i="1"/>
  <c r="Z246" i="1"/>
  <c r="AC236" i="1"/>
  <c r="AH229" i="1"/>
  <c r="J246" i="1"/>
  <c r="F263" i="1"/>
  <c r="M229" i="1"/>
  <c r="W229" i="1"/>
  <c r="AA236" i="1"/>
  <c r="AN270" i="1"/>
  <c r="C31" i="1"/>
  <c r="B31" i="1" s="1"/>
  <c r="I229" i="1"/>
  <c r="AI263" i="1"/>
  <c r="S246" i="1"/>
  <c r="C32" i="1"/>
  <c r="B32" i="1" s="1"/>
  <c r="P270" i="1"/>
  <c r="AA253" i="1"/>
  <c r="AM263" i="1"/>
  <c r="E287" i="1"/>
  <c r="AB287" i="1"/>
  <c r="AI287" i="1"/>
  <c r="G229" i="1"/>
  <c r="D253" i="1"/>
  <c r="AK270" i="1"/>
  <c r="N270" i="1"/>
  <c r="S270" i="1"/>
  <c r="Q270" i="1"/>
  <c r="Z229" i="1"/>
  <c r="AK229" i="1"/>
  <c r="L263" i="1"/>
  <c r="C246" i="1"/>
  <c r="Y236" i="1"/>
  <c r="Y263" i="1"/>
  <c r="D280" i="1"/>
  <c r="AA280" i="1"/>
  <c r="X287" i="1"/>
  <c r="AL287" i="1"/>
  <c r="AE287" i="1"/>
  <c r="AP263" i="1"/>
  <c r="AB263" i="1"/>
  <c r="AE270" i="1"/>
  <c r="N263" i="1"/>
  <c r="V270" i="1"/>
  <c r="P229" i="1"/>
  <c r="AK263" i="1"/>
  <c r="H253" i="1"/>
  <c r="AC253" i="1"/>
  <c r="I253" i="1"/>
  <c r="S253" i="1"/>
  <c r="AH263" i="1"/>
  <c r="AJ229" i="1"/>
  <c r="W270" i="1"/>
  <c r="AI229" i="1"/>
  <c r="F280" i="1"/>
  <c r="AK280" i="1"/>
  <c r="K280" i="1"/>
  <c r="H287" i="1"/>
  <c r="K287" i="1"/>
  <c r="B253" i="1"/>
  <c r="L270" i="1"/>
  <c r="G253" i="1"/>
  <c r="AC263" i="1"/>
  <c r="AI246" i="1"/>
  <c r="C26" i="1"/>
  <c r="K263" i="1"/>
  <c r="AG246" i="1"/>
  <c r="E270" i="1"/>
  <c r="G263" i="1"/>
  <c r="Z270" i="1"/>
  <c r="Y280" i="1"/>
  <c r="AH280" i="1"/>
  <c r="AN280" i="1"/>
  <c r="B287" i="1"/>
  <c r="J287" i="1"/>
  <c r="AK287" i="1"/>
  <c r="M270" i="1"/>
  <c r="AF236" i="1"/>
  <c r="AI253" i="1"/>
  <c r="AM229" i="1"/>
  <c r="T236" i="1"/>
  <c r="V246" i="1"/>
  <c r="AG253" i="1"/>
  <c r="AA270" i="1"/>
  <c r="AH236" i="1"/>
  <c r="F270" i="1"/>
  <c r="H263" i="1"/>
  <c r="P253" i="1"/>
  <c r="Y229" i="1"/>
  <c r="E263" i="1"/>
  <c r="AP270" i="1"/>
  <c r="R270" i="1"/>
  <c r="F253" i="1"/>
  <c r="X236" i="1"/>
  <c r="Z253" i="1"/>
  <c r="AI270" i="1"/>
  <c r="I270" i="1"/>
  <c r="AE253" i="1"/>
  <c r="Q253" i="1"/>
  <c r="D229" i="1"/>
  <c r="H246" i="1"/>
  <c r="O236" i="1"/>
  <c r="AF229" i="1"/>
  <c r="P236" i="1"/>
  <c r="AM246" i="1"/>
  <c r="T270" i="1"/>
  <c r="B270" i="1"/>
  <c r="G246" i="1"/>
  <c r="AM236" i="1"/>
  <c r="F246" i="1"/>
  <c r="AN263" i="1"/>
  <c r="AG263" i="1"/>
  <c r="AJ263" i="1"/>
  <c r="AD246" i="1"/>
  <c r="Q287" i="1"/>
  <c r="R236" i="1"/>
  <c r="K270" i="1"/>
  <c r="J270" i="1"/>
  <c r="V263" i="1"/>
  <c r="N246" i="1"/>
  <c r="T263" i="1"/>
  <c r="D246" i="1"/>
  <c r="V229" i="1"/>
  <c r="AE236" i="1"/>
  <c r="AL253" i="1"/>
  <c r="AM287" i="1"/>
  <c r="W253" i="1"/>
  <c r="C270" i="1"/>
  <c r="H236" i="1"/>
  <c r="AO270" i="1"/>
  <c r="C253" i="1"/>
  <c r="AJ253" i="1"/>
  <c r="Q236" i="1"/>
  <c r="T253" i="1"/>
  <c r="AD270" i="1"/>
  <c r="AB236" i="1"/>
  <c r="AK236" i="1"/>
  <c r="G236" i="1"/>
  <c r="F229" i="1"/>
  <c r="AN246" i="1"/>
  <c r="N229" i="1"/>
  <c r="B263" i="1"/>
  <c r="AL229" i="1"/>
  <c r="AN236" i="1"/>
  <c r="AG236" i="1"/>
  <c r="P263" i="1"/>
  <c r="AC229" i="1"/>
  <c r="AF270" i="1"/>
  <c r="C263" i="1"/>
  <c r="AN229" i="1"/>
  <c r="AD253" i="1"/>
  <c r="Y253" i="1"/>
  <c r="U270" i="1"/>
  <c r="AF253" i="1"/>
  <c r="AO246" i="1"/>
  <c r="AA287" i="1"/>
  <c r="F236" i="1"/>
  <c r="X253" i="1"/>
  <c r="AA229" i="1"/>
  <c r="AO236" i="1"/>
  <c r="E236" i="1"/>
  <c r="D270" i="1"/>
  <c r="S263" i="1"/>
  <c r="B246" i="1"/>
  <c r="AD263" i="1"/>
  <c r="W246" i="1"/>
  <c r="H229" i="1"/>
  <c r="AP229" i="1"/>
  <c r="J253" i="1"/>
  <c r="X270" i="1"/>
  <c r="AA246" i="1"/>
  <c r="AB253" i="1"/>
  <c r="M246" i="1"/>
  <c r="Y246" i="1"/>
  <c r="C30" i="1"/>
  <c r="B30" i="1" s="1"/>
  <c r="E229" i="1"/>
  <c r="AC270" i="1"/>
  <c r="C29" i="1"/>
  <c r="B29" i="1" s="1"/>
  <c r="AM253" i="1"/>
  <c r="C236" i="1"/>
  <c r="AG270" i="1"/>
  <c r="O246" i="1"/>
  <c r="AO263" i="1"/>
  <c r="AP246" i="1"/>
  <c r="I246" i="1"/>
  <c r="R229" i="1"/>
  <c r="AO253" i="1"/>
  <c r="W236" i="1"/>
  <c r="B236" i="1"/>
  <c r="G270" i="1"/>
  <c r="AP253" i="1"/>
  <c r="AI236" i="1"/>
  <c r="K246" i="1"/>
  <c r="AJ270" i="1"/>
  <c r="P246" i="1"/>
  <c r="K236" i="1"/>
  <c r="K229" i="1"/>
  <c r="W263" i="1"/>
  <c r="X263" i="1"/>
  <c r="U263" i="1"/>
  <c r="AK253" i="1"/>
  <c r="J263" i="1"/>
  <c r="O270" i="1"/>
  <c r="AP236" i="1"/>
  <c r="U253" i="1"/>
  <c r="AE246" i="1"/>
  <c r="AC246" i="1"/>
  <c r="AL270" i="1"/>
  <c r="V236" i="1"/>
  <c r="AE229" i="1"/>
  <c r="AM270" i="1"/>
  <c r="AA263" i="1"/>
  <c r="W216" i="1"/>
  <c r="S216" i="1"/>
  <c r="AA216" i="1"/>
  <c r="O216" i="1"/>
  <c r="P216" i="1"/>
  <c r="G217" i="1"/>
  <c r="AE217" i="1"/>
  <c r="AJ217" i="1"/>
  <c r="AN217" i="1"/>
  <c r="AM217" i="1"/>
  <c r="B207" i="1"/>
  <c r="J214" i="1"/>
  <c r="E207" i="1"/>
  <c r="AK207" i="1"/>
  <c r="W208" i="1"/>
  <c r="H215" i="1"/>
  <c r="AF216" i="1"/>
  <c r="U216" i="1"/>
  <c r="AH216" i="1"/>
  <c r="X217" i="1"/>
  <c r="R217" i="1"/>
  <c r="Y207" i="1"/>
  <c r="AH207" i="1"/>
  <c r="AP208" i="1"/>
  <c r="F208" i="1"/>
  <c r="C217" i="1"/>
  <c r="F214" i="1"/>
  <c r="AP217" i="1"/>
  <c r="AJ216" i="1"/>
  <c r="Z209" i="1"/>
  <c r="AJ209" i="1"/>
  <c r="N209" i="1"/>
  <c r="AN209" i="1"/>
  <c r="AP216" i="1"/>
  <c r="V217" i="1"/>
  <c r="AC217" i="1"/>
  <c r="Q217" i="1"/>
  <c r="J217" i="1"/>
  <c r="B217" i="1"/>
  <c r="AD207" i="1"/>
  <c r="S214" i="1"/>
  <c r="T207" i="1"/>
  <c r="I214" i="1"/>
  <c r="AN207" i="1"/>
  <c r="G208" i="1"/>
  <c r="I215" i="1"/>
  <c r="AJ208" i="1"/>
  <c r="AC215" i="1"/>
  <c r="AB215" i="1"/>
  <c r="W214" i="1"/>
  <c r="W217" i="1"/>
  <c r="T214" i="1"/>
  <c r="Y210" i="1"/>
  <c r="V215" i="1"/>
  <c r="AA215" i="1"/>
  <c r="J209" i="1"/>
  <c r="AN214" i="1"/>
  <c r="AC209" i="1"/>
  <c r="B209" i="1"/>
  <c r="AA209" i="1"/>
  <c r="I209" i="1"/>
  <c r="AO209" i="1"/>
  <c r="L217" i="1"/>
  <c r="Z217" i="1"/>
  <c r="AO217" i="1"/>
  <c r="AD217" i="1"/>
  <c r="T210" i="1"/>
  <c r="N214" i="1"/>
  <c r="C214" i="1"/>
  <c r="AJ214" i="1"/>
  <c r="N207" i="1"/>
  <c r="Q214" i="1"/>
  <c r="D208" i="1"/>
  <c r="W215" i="1"/>
  <c r="P215" i="1"/>
  <c r="AO215" i="1"/>
  <c r="Q208" i="1"/>
  <c r="H207" i="1"/>
  <c r="M208" i="1"/>
  <c r="M216" i="1"/>
  <c r="C210" i="1"/>
  <c r="AD214" i="1"/>
  <c r="AF215" i="1"/>
  <c r="AE216" i="1"/>
  <c r="B210" i="1"/>
  <c r="AE214" i="1"/>
  <c r="V209" i="1"/>
  <c r="J207" i="1"/>
  <c r="AE215" i="1"/>
  <c r="N216" i="1"/>
  <c r="Y216" i="1"/>
  <c r="AD216" i="1"/>
  <c r="H209" i="1"/>
  <c r="AP209" i="1"/>
  <c r="AP210" i="1"/>
  <c r="E217" i="1"/>
  <c r="H217" i="1"/>
  <c r="F217" i="1"/>
  <c r="K210" i="1"/>
  <c r="W207" i="1"/>
  <c r="AO207" i="1"/>
  <c r="O207" i="1"/>
  <c r="G207" i="1"/>
  <c r="AF207" i="1"/>
  <c r="C208" i="1"/>
  <c r="O215" i="1"/>
  <c r="U215" i="1"/>
  <c r="O208" i="1"/>
  <c r="AL215" i="1"/>
  <c r="Y208" i="1"/>
  <c r="T216" i="1"/>
  <c r="I217" i="1"/>
  <c r="R208" i="1"/>
  <c r="AJ215" i="1"/>
  <c r="G216" i="1"/>
  <c r="C209" i="1"/>
  <c r="F216" i="1"/>
  <c r="K209" i="1"/>
  <c r="L216" i="1"/>
  <c r="X209" i="1"/>
  <c r="D210" i="1"/>
  <c r="AL217" i="1"/>
  <c r="X210" i="1"/>
  <c r="AE210" i="1"/>
  <c r="L210" i="1"/>
  <c r="H214" i="1"/>
  <c r="AI214" i="1"/>
  <c r="M214" i="1"/>
  <c r="Z207" i="1"/>
  <c r="B214" i="1"/>
  <c r="AK208" i="1"/>
  <c r="D215" i="1"/>
  <c r="B208" i="1"/>
  <c r="AO208" i="1"/>
  <c r="AG208" i="1"/>
  <c r="C215" i="1"/>
  <c r="K207" i="1"/>
  <c r="AD215" i="1"/>
  <c r="AO210" i="1"/>
  <c r="X214" i="1"/>
  <c r="Z215" i="1"/>
  <c r="AG209" i="1"/>
  <c r="AI210" i="1"/>
  <c r="K214" i="1"/>
  <c r="AE208" i="1"/>
  <c r="AG215" i="1"/>
  <c r="AH209" i="1"/>
  <c r="AG216" i="1"/>
  <c r="AI209" i="1"/>
  <c r="M209" i="1"/>
  <c r="I216" i="1"/>
  <c r="P209" i="1"/>
  <c r="AG210" i="1"/>
  <c r="AK210" i="1"/>
  <c r="AM210" i="1"/>
  <c r="AI217" i="1"/>
  <c r="N217" i="1"/>
  <c r="AO214" i="1"/>
  <c r="Z214" i="1"/>
  <c r="AJ207" i="1"/>
  <c r="D214" i="1"/>
  <c r="AI207" i="1"/>
  <c r="L215" i="1"/>
  <c r="K215" i="1"/>
  <c r="I208" i="1"/>
  <c r="P208" i="1"/>
  <c r="M207" i="1"/>
  <c r="AF208" i="1"/>
  <c r="AD209" i="1"/>
  <c r="G210" i="1"/>
  <c r="M215" i="1"/>
  <c r="AC216" i="1"/>
  <c r="AK217" i="1"/>
  <c r="V214" i="1"/>
  <c r="B215" i="1"/>
  <c r="AG217" i="1"/>
  <c r="AH215" i="1"/>
  <c r="AN216" i="1"/>
  <c r="L209" i="1"/>
  <c r="U209" i="1"/>
  <c r="Q216" i="1"/>
  <c r="AK216" i="1"/>
  <c r="Z210" i="1"/>
  <c r="AD210" i="1"/>
  <c r="M210" i="1"/>
  <c r="W210" i="1"/>
  <c r="V210" i="1"/>
  <c r="P214" i="1"/>
  <c r="AB208" i="1"/>
  <c r="AK209" i="1"/>
  <c r="AC208" i="1"/>
  <c r="F207" i="1"/>
  <c r="U208" i="1"/>
  <c r="AI208" i="1"/>
  <c r="R209" i="1"/>
  <c r="Y214" i="1"/>
  <c r="K208" i="1"/>
  <c r="X216" i="1"/>
  <c r="AM209" i="1"/>
  <c r="D209" i="1"/>
  <c r="R216" i="1"/>
  <c r="S209" i="1"/>
  <c r="S210" i="1"/>
  <c r="AJ210" i="1"/>
  <c r="AC210" i="1"/>
  <c r="N210" i="1"/>
  <c r="Q210" i="1"/>
  <c r="AK214" i="1"/>
  <c r="AB214" i="1"/>
  <c r="AE207" i="1"/>
  <c r="AB207" i="1"/>
  <c r="G214" i="1"/>
  <c r="AI215" i="1"/>
  <c r="G215" i="1"/>
  <c r="X208" i="1"/>
  <c r="L208" i="1"/>
  <c r="N208" i="1"/>
  <c r="X215" i="1"/>
  <c r="H216" i="1"/>
  <c r="AF217" i="1"/>
  <c r="I207" i="1"/>
  <c r="E215" i="1"/>
  <c r="AL209" i="1"/>
  <c r="AF210" i="1"/>
  <c r="L207" i="1"/>
  <c r="F215" i="1"/>
  <c r="AH208" i="1"/>
  <c r="Y209" i="1"/>
  <c r="AF209" i="1"/>
  <c r="B216" i="1"/>
  <c r="F209" i="1"/>
  <c r="T209" i="1"/>
  <c r="D217" i="1"/>
  <c r="F210" i="1"/>
  <c r="R210" i="1"/>
  <c r="AA217" i="1"/>
  <c r="E210" i="1"/>
  <c r="AG207" i="1"/>
  <c r="R207" i="1"/>
  <c r="AA207" i="1"/>
  <c r="C207" i="1"/>
  <c r="AF214" i="1"/>
  <c r="E208" i="1"/>
  <c r="J208" i="1"/>
  <c r="S208" i="1"/>
  <c r="AK215" i="1"/>
  <c r="AH217" i="1"/>
  <c r="AP214" i="1"/>
  <c r="K216" i="1"/>
  <c r="AC207" i="1"/>
  <c r="C216" i="1"/>
  <c r="AL214" i="1"/>
  <c r="H208" i="1"/>
  <c r="V216" i="1"/>
  <c r="AO216" i="1"/>
  <c r="Z216" i="1"/>
  <c r="E209" i="1"/>
  <c r="AL216" i="1"/>
  <c r="O210" i="1"/>
  <c r="AH210" i="1"/>
  <c r="AN210" i="1"/>
  <c r="P210" i="1"/>
  <c r="U210" i="1"/>
  <c r="AM214" i="1"/>
  <c r="V207" i="1"/>
  <c r="E214" i="1"/>
  <c r="AA214" i="1"/>
  <c r="AH214" i="1"/>
  <c r="D207" i="1"/>
  <c r="S215" i="1"/>
  <c r="J215" i="1"/>
  <c r="Q215" i="1"/>
  <c r="V208" i="1"/>
  <c r="AL208" i="1"/>
  <c r="O209" i="1"/>
  <c r="E216" i="1"/>
  <c r="Q209" i="1"/>
  <c r="J216" i="1"/>
  <c r="AB209" i="1"/>
  <c r="J210" i="1"/>
  <c r="M217" i="1"/>
  <c r="AB217" i="1"/>
  <c r="H210" i="1"/>
  <c r="P217" i="1"/>
  <c r="L214" i="1"/>
  <c r="R214" i="1"/>
  <c r="AL207" i="1"/>
  <c r="U214" i="1"/>
  <c r="AM215" i="1"/>
  <c r="S217" i="1"/>
  <c r="AM216" i="1"/>
  <c r="AE209" i="1"/>
  <c r="G209" i="1"/>
  <c r="W209" i="1"/>
  <c r="AB216" i="1"/>
  <c r="AA210" i="1"/>
  <c r="I210" i="1"/>
  <c r="AB210" i="1"/>
  <c r="K217" i="1"/>
  <c r="Y217" i="1"/>
  <c r="U207" i="1"/>
  <c r="AP207" i="1"/>
  <c r="P207" i="1"/>
  <c r="AC214" i="1"/>
  <c r="AG214" i="1"/>
  <c r="X207" i="1"/>
  <c r="R215" i="1"/>
  <c r="Z208" i="1"/>
  <c r="AA208" i="1"/>
  <c r="Y215" i="1"/>
  <c r="N215" i="1"/>
  <c r="T215" i="1"/>
  <c r="AM207" i="1"/>
  <c r="AN215" i="1"/>
  <c r="T208" i="1"/>
  <c r="AN208" i="1"/>
  <c r="AP215" i="1"/>
  <c r="AI216" i="1"/>
  <c r="D216" i="1"/>
  <c r="T217" i="1"/>
  <c r="O217" i="1"/>
  <c r="AL210" i="1"/>
  <c r="O214" i="1"/>
  <c r="S207" i="1"/>
  <c r="Q207" i="1"/>
  <c r="AM208" i="1"/>
  <c r="U217" i="1"/>
  <c r="AD208" i="1"/>
  <c r="Q212" i="1" l="1"/>
  <c r="S212" i="1"/>
  <c r="O219" i="1"/>
  <c r="AM212" i="1"/>
  <c r="X212" i="1"/>
  <c r="AG219" i="1"/>
  <c r="AC219" i="1"/>
  <c r="P212" i="1"/>
  <c r="AP212" i="1"/>
  <c r="U212" i="1"/>
  <c r="U219" i="1"/>
  <c r="AL212" i="1"/>
  <c r="R219" i="1"/>
  <c r="L219" i="1"/>
  <c r="D212" i="1"/>
  <c r="AH219" i="1"/>
  <c r="AA219" i="1"/>
  <c r="E219" i="1"/>
  <c r="V212" i="1"/>
  <c r="AM219" i="1"/>
  <c r="AL219" i="1"/>
  <c r="AC212" i="1"/>
  <c r="AP219" i="1"/>
  <c r="AF219" i="1"/>
  <c r="C212" i="1"/>
  <c r="AA212" i="1"/>
  <c r="R212" i="1"/>
  <c r="AG212" i="1"/>
  <c r="L212" i="1"/>
  <c r="I212" i="1"/>
  <c r="G219" i="1"/>
  <c r="AB212" i="1"/>
  <c r="AE212" i="1"/>
  <c r="AB219" i="1"/>
  <c r="AK219" i="1"/>
  <c r="Y219" i="1"/>
  <c r="F212" i="1"/>
  <c r="P219" i="1"/>
  <c r="V219" i="1"/>
  <c r="M212" i="1"/>
  <c r="AI212" i="1"/>
  <c r="D219" i="1"/>
  <c r="AJ212" i="1"/>
  <c r="Z219" i="1"/>
  <c r="AO219" i="1"/>
  <c r="K219" i="1"/>
  <c r="X219" i="1"/>
  <c r="K212" i="1"/>
  <c r="B219" i="1"/>
  <c r="Z212" i="1"/>
  <c r="M219" i="1"/>
  <c r="AI219" i="1"/>
  <c r="H219" i="1"/>
  <c r="AF212" i="1"/>
  <c r="G212" i="1"/>
  <c r="O212" i="1"/>
  <c r="AO212" i="1"/>
  <c r="W212" i="1"/>
  <c r="J212" i="1"/>
  <c r="AE219" i="1"/>
  <c r="AD219" i="1"/>
  <c r="H212" i="1"/>
  <c r="Q219" i="1"/>
  <c r="N212" i="1"/>
  <c r="AJ219" i="1"/>
  <c r="C219" i="1"/>
  <c r="N219" i="1"/>
  <c r="AN219" i="1"/>
  <c r="T219" i="1"/>
  <c r="W219" i="1"/>
  <c r="AN212" i="1"/>
  <c r="I219" i="1"/>
  <c r="T212" i="1"/>
  <c r="S219" i="1"/>
  <c r="AD212" i="1"/>
  <c r="F219" i="1"/>
  <c r="AH212" i="1"/>
  <c r="Y212" i="1"/>
  <c r="AK212" i="1"/>
  <c r="E212" i="1"/>
  <c r="J219" i="1"/>
  <c r="B212" i="1"/>
  <c r="B26" i="1"/>
  <c r="C27" i="1"/>
  <c r="B27" i="1" s="1"/>
</calcChain>
</file>

<file path=xl/comments1.xml><?xml version="1.0" encoding="utf-8"?>
<comments xmlns="http://schemas.openxmlformats.org/spreadsheetml/2006/main">
  <authors>
    <author>Schlomy BOTBOL</author>
  </authors>
  <commentList>
    <comment ref="A21" authorId="0" shapeId="0">
      <text>
        <r>
          <rPr>
            <b/>
            <sz val="9"/>
            <color indexed="81"/>
            <rFont val="Tahoma"/>
            <charset val="1"/>
          </rPr>
          <t>Schlomy BOTBOL:</t>
        </r>
        <r>
          <rPr>
            <sz val="9"/>
            <color indexed="81"/>
            <rFont val="Tahoma"/>
            <charset val="1"/>
          </rPr>
          <t xml:space="preserve">
variation of delta for a variation of underlying price of 1 pt</t>
        </r>
      </text>
    </comment>
    <comment ref="A29" authorId="0" shapeId="0">
      <text>
        <r>
          <rPr>
            <b/>
            <sz val="9"/>
            <color indexed="81"/>
            <rFont val="Tahoma"/>
            <charset val="1"/>
          </rPr>
          <t>Schlomy BOTBOL:</t>
        </r>
        <r>
          <rPr>
            <sz val="9"/>
            <color indexed="81"/>
            <rFont val="Tahoma"/>
            <charset val="1"/>
          </rPr>
          <t xml:space="preserve">
Delta exposure normalized versus a variation in % of underlying price</t>
        </r>
      </text>
    </comment>
    <comment ref="A30" authorId="0" shapeId="0">
      <text>
        <r>
          <rPr>
            <b/>
            <sz val="9"/>
            <color indexed="81"/>
            <rFont val="Tahoma"/>
            <charset val="1"/>
          </rPr>
          <t>Schlomy BOTBOL:</t>
        </r>
        <r>
          <rPr>
            <sz val="9"/>
            <color indexed="81"/>
            <rFont val="Tahoma"/>
            <charset val="1"/>
          </rPr>
          <t xml:space="preserve">
variation of delta for a 1% underlying price varation</t>
        </r>
      </text>
    </comment>
  </commentList>
</comments>
</file>

<file path=xl/sharedStrings.xml><?xml version="1.0" encoding="utf-8"?>
<sst xmlns="http://schemas.openxmlformats.org/spreadsheetml/2006/main" count="106" uniqueCount="50">
  <si>
    <t>Option Price</t>
  </si>
  <si>
    <t>Option Parameters</t>
  </si>
  <si>
    <t>1st Leg</t>
  </si>
  <si>
    <t>2nd Leg</t>
  </si>
  <si>
    <t>3rd Leg</t>
  </si>
  <si>
    <t>4th Leg</t>
  </si>
  <si>
    <t>Forward</t>
  </si>
  <si>
    <t>Quantity</t>
  </si>
  <si>
    <t>Spot Price S</t>
  </si>
  <si>
    <t>Strike K</t>
  </si>
  <si>
    <t>Maturity T (days)</t>
  </si>
  <si>
    <t>Portfolio Value</t>
  </si>
  <si>
    <t>Outputs</t>
  </si>
  <si>
    <t>Delta (%)</t>
  </si>
  <si>
    <t>Vega (1% vol move)</t>
  </si>
  <si>
    <t>Theta (per day)</t>
  </si>
  <si>
    <t>Interest rate r (%)</t>
  </si>
  <si>
    <t>Implied Volatility (%)</t>
  </si>
  <si>
    <t>Call / Put</t>
  </si>
  <si>
    <t>Call</t>
  </si>
  <si>
    <t>Put</t>
  </si>
  <si>
    <t>Portfolio Greeks</t>
  </si>
  <si>
    <t>Contract Size</t>
  </si>
  <si>
    <t>Vega (bps)</t>
  </si>
  <si>
    <t>Theta (bps)</t>
  </si>
  <si>
    <t>Graph parameters</t>
  </si>
  <si>
    <t>Step</t>
  </si>
  <si>
    <t>1st option</t>
  </si>
  <si>
    <t>2nd option</t>
  </si>
  <si>
    <t>3rd option</t>
  </si>
  <si>
    <t>4th option</t>
  </si>
  <si>
    <t>Spot /Fut /Fwd</t>
  </si>
  <si>
    <t>Total Performance</t>
  </si>
  <si>
    <t>Shift in Time (+x days)</t>
  </si>
  <si>
    <t>Shift in Vol (+y %)</t>
  </si>
  <si>
    <t>PERFORMANCES</t>
  </si>
  <si>
    <t>DELTA</t>
  </si>
  <si>
    <t>Total Delta</t>
  </si>
  <si>
    <t>THETA</t>
  </si>
  <si>
    <t>Total Theta</t>
  </si>
  <si>
    <t>VEGA</t>
  </si>
  <si>
    <t>Total Vega</t>
  </si>
  <si>
    <t>Gamma (%)</t>
  </si>
  <si>
    <t>Greeks (per option)</t>
  </si>
  <si>
    <t>NET EXPOSURE</t>
  </si>
  <si>
    <t>GAMMA</t>
  </si>
  <si>
    <t>Total Gamma</t>
  </si>
  <si>
    <t>Dividend yield q (%)</t>
  </si>
  <si>
    <t>Option premium (%)</t>
  </si>
  <si>
    <t>Option premium ($)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</si>
</sst>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5" formatCode="_-* #,##0.00\ _€_-;\-* #,##0.00\ _€_-;_-* &quot;-&quot;??\ _€_-;_-@_-"/>
    <numFmt numFmtId="166" formatCode="0.00000"/>
    <numFmt numFmtId="167" formatCode="_-* #,##0\ _€_-;\-* #,##0\ _€_-;_-* &quot;-&quot;??\ _€_-;_-@_-"/>
    <numFmt numFmtId="168" formatCode="0.0%"/>
    <numFmt numFmtId="169" formatCode="#,##0.00_ ;\-#,##0.00\ "/>
    <numFmt numFmtId="172" formatCode="#,##0.0_ ;\-#,##0.0\ "/>
    <numFmt numFmtId="173" formatCode="#,##0_ ;\-#,##0\ "/>
  </numFmts>
  <fonts count="6" x14ac:knownFonts="1"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165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104">
    <xf numFmtId="0" fontId="0" fillId="0" borderId="0" xfId="0"/>
    <xf numFmtId="0" fontId="0" fillId="2" borderId="1" xfId="0" applyFill="1" applyBorder="1"/>
    <xf numFmtId="0" fontId="0" fillId="2" borderId="2" xfId="0" applyFill="1" applyBorder="1" applyAlignment="1">
      <alignment horizontal="center" vertical="center"/>
    </xf>
    <xf numFmtId="0" fontId="0" fillId="2" borderId="3" xfId="0" applyFill="1" applyBorder="1"/>
    <xf numFmtId="0" fontId="0" fillId="2" borderId="0" xfId="0" applyFill="1" applyBorder="1" applyAlignment="1">
      <alignment horizontal="center" vertical="center"/>
    </xf>
    <xf numFmtId="10" fontId="3" fillId="2" borderId="0" xfId="2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0" borderId="0" xfId="0" applyFont="1"/>
    <xf numFmtId="0" fontId="4" fillId="3" borderId="0" xfId="0" applyFont="1" applyFill="1" applyBorder="1" applyAlignment="1">
      <alignment horizontal="center" vertical="center"/>
    </xf>
    <xf numFmtId="2" fontId="0" fillId="4" borderId="4" xfId="0" applyNumberFormat="1" applyFill="1" applyBorder="1" applyAlignment="1">
      <alignment horizontal="center"/>
    </xf>
    <xf numFmtId="2" fontId="0" fillId="4" borderId="0" xfId="0" applyNumberFormat="1" applyFill="1" applyBorder="1" applyAlignment="1">
      <alignment horizontal="center"/>
    </xf>
    <xf numFmtId="0" fontId="0" fillId="2" borderId="2" xfId="0" applyFill="1" applyBorder="1"/>
    <xf numFmtId="0" fontId="0" fillId="2" borderId="0" xfId="0" applyFill="1" applyBorder="1"/>
    <xf numFmtId="0" fontId="4" fillId="5" borderId="5" xfId="0" applyFont="1" applyFill="1" applyBorder="1" applyAlignment="1">
      <alignment horizontal="center"/>
    </xf>
    <xf numFmtId="0" fontId="4" fillId="4" borderId="6" xfId="0" applyFont="1" applyFill="1" applyBorder="1"/>
    <xf numFmtId="0" fontId="0" fillId="4" borderId="7" xfId="0" applyFill="1" applyBorder="1"/>
    <xf numFmtId="0" fontId="4" fillId="6" borderId="0" xfId="0" applyFont="1" applyFill="1" applyAlignment="1">
      <alignment horizontal="center"/>
    </xf>
    <xf numFmtId="167" fontId="3" fillId="6" borderId="0" xfId="1" applyNumberFormat="1" applyFont="1" applyFill="1" applyAlignment="1">
      <alignment horizontal="center"/>
    </xf>
    <xf numFmtId="9" fontId="3" fillId="0" borderId="0" xfId="2" applyFont="1"/>
    <xf numFmtId="2" fontId="0" fillId="0" borderId="0" xfId="0" applyNumberFormat="1"/>
    <xf numFmtId="10" fontId="0" fillId="0" borderId="0" xfId="0" applyNumberFormat="1"/>
    <xf numFmtId="10" fontId="4" fillId="0" borderId="0" xfId="0" applyNumberFormat="1" applyFont="1"/>
    <xf numFmtId="10" fontId="0" fillId="0" borderId="0" xfId="0" applyNumberFormat="1" applyFill="1"/>
    <xf numFmtId="2" fontId="0" fillId="0" borderId="0" xfId="0" applyNumberFormat="1" applyFill="1"/>
    <xf numFmtId="2" fontId="4" fillId="0" borderId="0" xfId="0" applyNumberFormat="1" applyFont="1"/>
    <xf numFmtId="168" fontId="3" fillId="4" borderId="0" xfId="2" applyNumberFormat="1" applyFont="1" applyFill="1" applyBorder="1" applyAlignment="1">
      <alignment horizontal="center"/>
    </xf>
    <xf numFmtId="9" fontId="3" fillId="4" borderId="2" xfId="2" applyNumberFormat="1" applyFont="1" applyFill="1" applyBorder="1" applyAlignment="1">
      <alignment horizontal="center"/>
    </xf>
    <xf numFmtId="10" fontId="4" fillId="5" borderId="2" xfId="2" applyNumberFormat="1" applyFont="1" applyFill="1" applyBorder="1" applyAlignment="1">
      <alignment horizontal="center"/>
    </xf>
    <xf numFmtId="10" fontId="4" fillId="5" borderId="0" xfId="2" applyNumberFormat="1" applyFont="1" applyFill="1" applyBorder="1" applyAlignment="1">
      <alignment horizontal="center"/>
    </xf>
    <xf numFmtId="169" fontId="4" fillId="5" borderId="0" xfId="0" applyNumberFormat="1" applyFont="1" applyFill="1" applyBorder="1" applyAlignment="1">
      <alignment horizontal="center"/>
    </xf>
    <xf numFmtId="39" fontId="4" fillId="5" borderId="4" xfId="0" applyNumberFormat="1" applyFont="1" applyFill="1" applyBorder="1" applyAlignment="1">
      <alignment horizontal="center"/>
    </xf>
    <xf numFmtId="10" fontId="3" fillId="0" borderId="0" xfId="2" applyNumberFormat="1" applyFont="1" applyFill="1"/>
    <xf numFmtId="0" fontId="0" fillId="7" borderId="0" xfId="0" applyFill="1"/>
    <xf numFmtId="0" fontId="4" fillId="7" borderId="6" xfId="0" applyFont="1" applyFill="1" applyBorder="1" applyAlignment="1">
      <alignment horizontal="center"/>
    </xf>
    <xf numFmtId="0" fontId="4" fillId="7" borderId="5" xfId="0" applyFont="1" applyFill="1" applyBorder="1" applyAlignment="1">
      <alignment horizontal="center"/>
    </xf>
    <xf numFmtId="0" fontId="4" fillId="7" borderId="8" xfId="0" applyFont="1" applyFill="1" applyBorder="1" applyAlignment="1">
      <alignment horizontal="center"/>
    </xf>
    <xf numFmtId="0" fontId="4" fillId="7" borderId="2" xfId="0" applyFont="1" applyFill="1" applyBorder="1"/>
    <xf numFmtId="0" fontId="0" fillId="7" borderId="2" xfId="0" applyFill="1" applyBorder="1" applyAlignment="1">
      <alignment horizontal="center"/>
    </xf>
    <xf numFmtId="0" fontId="4" fillId="7" borderId="4" xfId="0" applyFont="1" applyFill="1" applyBorder="1"/>
    <xf numFmtId="0" fontId="0" fillId="7" borderId="4" xfId="0" applyFill="1" applyBorder="1" applyAlignment="1">
      <alignment horizontal="center"/>
    </xf>
    <xf numFmtId="0" fontId="0" fillId="7" borderId="0" xfId="0" applyFill="1" applyAlignment="1">
      <alignment horizontal="center"/>
    </xf>
    <xf numFmtId="0" fontId="4" fillId="7" borderId="9" xfId="0" applyFont="1" applyFill="1" applyBorder="1" applyAlignment="1">
      <alignment horizontal="center"/>
    </xf>
    <xf numFmtId="0" fontId="4" fillId="7" borderId="4" xfId="0" applyFont="1" applyFill="1" applyBorder="1" applyAlignment="1">
      <alignment horizontal="center"/>
    </xf>
    <xf numFmtId="0" fontId="4" fillId="7" borderId="0" xfId="0" applyFont="1" applyFill="1"/>
    <xf numFmtId="167" fontId="3" fillId="7" borderId="0" xfId="1" applyNumberFormat="1" applyFont="1" applyFill="1"/>
    <xf numFmtId="0" fontId="0" fillId="7" borderId="3" xfId="0" applyFill="1" applyBorder="1"/>
    <xf numFmtId="0" fontId="0" fillId="7" borderId="0" xfId="0" applyFill="1" applyBorder="1"/>
    <xf numFmtId="10" fontId="3" fillId="7" borderId="0" xfId="2" applyNumberFormat="1" applyFont="1" applyFill="1" applyBorder="1" applyAlignment="1">
      <alignment horizontal="center" vertical="center"/>
    </xf>
    <xf numFmtId="0" fontId="4" fillId="7" borderId="5" xfId="0" applyFont="1" applyFill="1" applyBorder="1"/>
    <xf numFmtId="0" fontId="0" fillId="7" borderId="4" xfId="0" applyFill="1" applyBorder="1"/>
    <xf numFmtId="0" fontId="0" fillId="7" borderId="2" xfId="0" applyFill="1" applyBorder="1"/>
    <xf numFmtId="10" fontId="3" fillId="7" borderId="5" xfId="2" applyNumberFormat="1" applyFont="1" applyFill="1" applyBorder="1" applyAlignment="1">
      <alignment horizontal="center" vertical="center"/>
    </xf>
    <xf numFmtId="0" fontId="0" fillId="7" borderId="5" xfId="0" applyFill="1" applyBorder="1" applyAlignment="1">
      <alignment horizontal="center"/>
    </xf>
    <xf numFmtId="168" fontId="3" fillId="7" borderId="2" xfId="2" applyNumberFormat="1" applyFont="1" applyFill="1" applyBorder="1" applyAlignment="1">
      <alignment horizontal="center"/>
    </xf>
    <xf numFmtId="168" fontId="3" fillId="7" borderId="0" xfId="2" applyNumberFormat="1" applyFont="1" applyFill="1" applyAlignment="1">
      <alignment horizontal="center"/>
    </xf>
    <xf numFmtId="169" fontId="0" fillId="7" borderId="0" xfId="0" applyNumberFormat="1" applyFill="1" applyBorder="1" applyAlignment="1">
      <alignment horizontal="center"/>
    </xf>
    <xf numFmtId="39" fontId="0" fillId="7" borderId="4" xfId="0" applyNumberFormat="1" applyFill="1" applyBorder="1" applyAlignment="1">
      <alignment horizontal="center"/>
    </xf>
    <xf numFmtId="9" fontId="3" fillId="7" borderId="0" xfId="2" applyFont="1" applyFill="1"/>
    <xf numFmtId="9" fontId="0" fillId="7" borderId="0" xfId="0" applyNumberFormat="1" applyFill="1"/>
    <xf numFmtId="9" fontId="3" fillId="7" borderId="0" xfId="2" applyNumberFormat="1" applyFont="1" applyFill="1"/>
    <xf numFmtId="2" fontId="0" fillId="7" borderId="0" xfId="0" applyNumberFormat="1" applyFill="1"/>
    <xf numFmtId="10" fontId="4" fillId="7" borderId="0" xfId="0" applyNumberFormat="1" applyFont="1" applyFill="1"/>
    <xf numFmtId="2" fontId="4" fillId="7" borderId="0" xfId="0" applyNumberFormat="1" applyFont="1" applyFill="1"/>
    <xf numFmtId="10" fontId="3" fillId="7" borderId="0" xfId="2" applyNumberFormat="1" applyFont="1" applyFill="1" applyAlignment="1">
      <alignment horizontal="center"/>
    </xf>
    <xf numFmtId="10" fontId="4" fillId="5" borderId="0" xfId="0" applyNumberFormat="1" applyFont="1" applyFill="1" applyAlignment="1">
      <alignment horizontal="center"/>
    </xf>
    <xf numFmtId="172" fontId="4" fillId="5" borderId="0" xfId="0" applyNumberFormat="1" applyFont="1" applyFill="1" applyAlignment="1">
      <alignment horizontal="center"/>
    </xf>
    <xf numFmtId="172" fontId="3" fillId="7" borderId="0" xfId="1" applyNumberFormat="1" applyFont="1" applyFill="1" applyAlignment="1">
      <alignment horizontal="center"/>
    </xf>
    <xf numFmtId="173" fontId="3" fillId="2" borderId="0" xfId="1" applyNumberFormat="1" applyFont="1" applyFill="1" applyBorder="1" applyAlignment="1">
      <alignment horizontal="center" vertical="center"/>
    </xf>
    <xf numFmtId="0" fontId="4" fillId="7" borderId="1" xfId="0" applyFont="1" applyFill="1" applyBorder="1"/>
    <xf numFmtId="0" fontId="4" fillId="7" borderId="7" xfId="0" applyFont="1" applyFill="1" applyBorder="1"/>
    <xf numFmtId="0" fontId="5" fillId="4" borderId="3" xfId="0" applyFont="1" applyFill="1" applyBorder="1"/>
    <xf numFmtId="0" fontId="0" fillId="4" borderId="1" xfId="0" applyFill="1" applyBorder="1"/>
    <xf numFmtId="0" fontId="0" fillId="4" borderId="3" xfId="0" applyFill="1" applyBorder="1"/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8" borderId="10" xfId="0" applyFill="1" applyBorder="1" applyAlignment="1">
      <alignment horizontal="center" vertical="center"/>
    </xf>
    <xf numFmtId="0" fontId="0" fillId="8" borderId="12" xfId="0" applyFill="1" applyBorder="1" applyAlignment="1">
      <alignment horizontal="center" vertical="center"/>
    </xf>
    <xf numFmtId="10" fontId="3" fillId="8" borderId="12" xfId="2" applyNumberFormat="1" applyFont="1" applyFill="1" applyBorder="1" applyAlignment="1">
      <alignment horizontal="center" vertical="center"/>
    </xf>
    <xf numFmtId="165" fontId="3" fillId="8" borderId="12" xfId="1" applyFont="1" applyFill="1" applyBorder="1" applyAlignment="1">
      <alignment horizontal="center" vertical="center"/>
    </xf>
    <xf numFmtId="10" fontId="3" fillId="7" borderId="12" xfId="2" applyNumberFormat="1" applyFont="1" applyFill="1" applyBorder="1" applyAlignment="1">
      <alignment horizontal="center" vertical="center"/>
    </xf>
    <xf numFmtId="10" fontId="3" fillId="7" borderId="8" xfId="2" applyNumberFormat="1" applyFont="1" applyFill="1" applyBorder="1" applyAlignment="1">
      <alignment horizontal="center" vertical="center"/>
    </xf>
    <xf numFmtId="166" fontId="0" fillId="8" borderId="11" xfId="0" applyNumberFormat="1" applyFill="1" applyBorder="1" applyAlignment="1">
      <alignment horizontal="center"/>
    </xf>
    <xf numFmtId="0" fontId="0" fillId="0" borderId="12" xfId="0" applyBorder="1" applyAlignment="1">
      <alignment horizontal="center"/>
    </xf>
    <xf numFmtId="9" fontId="0" fillId="0" borderId="10" xfId="0" applyNumberFormat="1" applyBorder="1" applyAlignment="1">
      <alignment horizontal="center"/>
    </xf>
    <xf numFmtId="9" fontId="0" fillId="8" borderId="12" xfId="0" applyNumberFormat="1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5" borderId="3" xfId="0" applyFill="1" applyBorder="1"/>
    <xf numFmtId="0" fontId="4" fillId="5" borderId="6" xfId="0" applyFont="1" applyFill="1" applyBorder="1"/>
    <xf numFmtId="0" fontId="0" fillId="5" borderId="1" xfId="0" applyFill="1" applyBorder="1"/>
    <xf numFmtId="0" fontId="0" fillId="5" borderId="7" xfId="0" applyFill="1" applyBorder="1"/>
    <xf numFmtId="0" fontId="0" fillId="7" borderId="8" xfId="0" applyFill="1" applyBorder="1" applyAlignment="1">
      <alignment horizontal="center"/>
    </xf>
    <xf numFmtId="168" fontId="3" fillId="7" borderId="10" xfId="2" applyNumberFormat="1" applyFont="1" applyFill="1" applyBorder="1" applyAlignment="1">
      <alignment horizontal="center"/>
    </xf>
    <xf numFmtId="169" fontId="0" fillId="8" borderId="12" xfId="0" applyNumberFormat="1" applyFill="1" applyBorder="1" applyAlignment="1">
      <alignment horizontal="center"/>
    </xf>
    <xf numFmtId="165" fontId="0" fillId="8" borderId="11" xfId="0" applyNumberFormat="1" applyFill="1" applyBorder="1" applyAlignment="1">
      <alignment horizontal="center"/>
    </xf>
    <xf numFmtId="0" fontId="4" fillId="9" borderId="9" xfId="0" applyFont="1" applyFill="1" applyBorder="1"/>
    <xf numFmtId="0" fontId="4" fillId="9" borderId="13" xfId="0" applyFont="1" applyFill="1" applyBorder="1" applyAlignment="1">
      <alignment horizontal="left"/>
    </xf>
    <xf numFmtId="9" fontId="0" fillId="9" borderId="13" xfId="0" applyNumberFormat="1" applyFill="1" applyBorder="1" applyAlignment="1">
      <alignment horizontal="left"/>
    </xf>
    <xf numFmtId="0" fontId="0" fillId="9" borderId="13" xfId="0" applyFill="1" applyBorder="1"/>
    <xf numFmtId="0" fontId="4" fillId="9" borderId="13" xfId="0" applyFont="1" applyFill="1" applyBorder="1"/>
    <xf numFmtId="0" fontId="0" fillId="9" borderId="13" xfId="0" applyFill="1" applyBorder="1" applyAlignment="1">
      <alignment horizontal="left"/>
    </xf>
    <xf numFmtId="9" fontId="0" fillId="9" borderId="14" xfId="0" applyNumberFormat="1" applyFill="1" applyBorder="1" applyAlignment="1">
      <alignment horizontal="left"/>
    </xf>
    <xf numFmtId="10" fontId="3" fillId="0" borderId="0" xfId="2" applyNumberFormat="1" applyFont="1" applyFill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fr-FR"/>
              <a:t>Portfolio Performance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6102443556576208E-2"/>
          <c:y val="0.14348698740023225"/>
          <c:w val="0.8793477902250405"/>
          <c:h val="0.72088634700713561"/>
        </c:manualLayout>
      </c:layout>
      <c:lineChart>
        <c:grouping val="standard"/>
        <c:varyColors val="0"/>
        <c:ser>
          <c:idx val="0"/>
          <c:order val="0"/>
          <c:tx>
            <c:v>Instantaneous Performance</c:v>
          </c:tx>
          <c:spPr>
            <a:ln w="47625"/>
          </c:spPr>
          <c:marker>
            <c:symbol val="none"/>
          </c:marker>
          <c:cat>
            <c:numRef>
              <c:f>'Option Pricer'!$B$206:$AP$206</c:f>
              <c:numCache>
                <c:formatCode>0.00</c:formatCode>
                <c:ptCount val="41"/>
                <c:pt idx="0">
                  <c:v>1710</c:v>
                </c:pt>
                <c:pt idx="1">
                  <c:v>1719.5</c:v>
                </c:pt>
                <c:pt idx="2">
                  <c:v>1729</c:v>
                </c:pt>
                <c:pt idx="3">
                  <c:v>1738.5</c:v>
                </c:pt>
                <c:pt idx="4">
                  <c:v>1748</c:v>
                </c:pt>
                <c:pt idx="5">
                  <c:v>1757.5</c:v>
                </c:pt>
                <c:pt idx="6">
                  <c:v>1766.9999999999998</c:v>
                </c:pt>
                <c:pt idx="7">
                  <c:v>1776.5</c:v>
                </c:pt>
                <c:pt idx="8">
                  <c:v>1786</c:v>
                </c:pt>
                <c:pt idx="9">
                  <c:v>1795.5</c:v>
                </c:pt>
                <c:pt idx="10">
                  <c:v>1805</c:v>
                </c:pt>
                <c:pt idx="11">
                  <c:v>1814.5</c:v>
                </c:pt>
                <c:pt idx="12">
                  <c:v>1824</c:v>
                </c:pt>
                <c:pt idx="13">
                  <c:v>1833.5</c:v>
                </c:pt>
                <c:pt idx="14">
                  <c:v>1843</c:v>
                </c:pt>
                <c:pt idx="15">
                  <c:v>1852.5</c:v>
                </c:pt>
                <c:pt idx="16">
                  <c:v>1862</c:v>
                </c:pt>
                <c:pt idx="17">
                  <c:v>1871.5</c:v>
                </c:pt>
                <c:pt idx="18">
                  <c:v>1881</c:v>
                </c:pt>
                <c:pt idx="19">
                  <c:v>1890.5</c:v>
                </c:pt>
                <c:pt idx="20" formatCode="General">
                  <c:v>1900</c:v>
                </c:pt>
                <c:pt idx="21">
                  <c:v>1909.4999999999998</c:v>
                </c:pt>
                <c:pt idx="22">
                  <c:v>1919</c:v>
                </c:pt>
                <c:pt idx="23">
                  <c:v>1928.4999999999998</c:v>
                </c:pt>
                <c:pt idx="24">
                  <c:v>1938</c:v>
                </c:pt>
                <c:pt idx="25">
                  <c:v>1947.4999999999998</c:v>
                </c:pt>
                <c:pt idx="26">
                  <c:v>1957</c:v>
                </c:pt>
                <c:pt idx="27">
                  <c:v>1966.4999999999998</c:v>
                </c:pt>
                <c:pt idx="28">
                  <c:v>1976</c:v>
                </c:pt>
                <c:pt idx="29">
                  <c:v>1985.4999999999998</c:v>
                </c:pt>
                <c:pt idx="30">
                  <c:v>1995</c:v>
                </c:pt>
                <c:pt idx="31">
                  <c:v>2004.4999999999998</c:v>
                </c:pt>
                <c:pt idx="32">
                  <c:v>2014</c:v>
                </c:pt>
                <c:pt idx="33">
                  <c:v>2023.5</c:v>
                </c:pt>
                <c:pt idx="34">
                  <c:v>2033.0000000000002</c:v>
                </c:pt>
                <c:pt idx="35">
                  <c:v>2042.5</c:v>
                </c:pt>
                <c:pt idx="36">
                  <c:v>2052</c:v>
                </c:pt>
                <c:pt idx="37">
                  <c:v>2061.5</c:v>
                </c:pt>
                <c:pt idx="38">
                  <c:v>2071</c:v>
                </c:pt>
                <c:pt idx="39">
                  <c:v>2080.5</c:v>
                </c:pt>
                <c:pt idx="40">
                  <c:v>2090</c:v>
                </c:pt>
              </c:numCache>
            </c:numRef>
          </c:cat>
          <c:val>
            <c:numRef>
              <c:f>'Option Pricer'!$B$212:$AP$212</c:f>
              <c:numCache>
                <c:formatCode>0.00%</c:formatCode>
                <c:ptCount val="41"/>
                <c:pt idx="0">
                  <c:v>-1.6206358779265753E-2</c:v>
                </c:pt>
                <c:pt idx="1">
                  <c:v>-1.6163238925599881E-2</c:v>
                </c:pt>
                <c:pt idx="2">
                  <c:v>-1.6102725602100791E-2</c:v>
                </c:pt>
                <c:pt idx="3">
                  <c:v>-1.6019195969409258E-2</c:v>
                </c:pt>
                <c:pt idx="4">
                  <c:v>-1.5905745451173459E-2</c:v>
                </c:pt>
                <c:pt idx="5">
                  <c:v>-1.5754071990622662E-2</c:v>
                </c:pt>
                <c:pt idx="6">
                  <c:v>-1.5554402652083878E-2</c:v>
                </c:pt>
                <c:pt idx="7">
                  <c:v>-1.5295477515516111E-2</c:v>
                </c:pt>
                <c:pt idx="8">
                  <c:v>-1.496460424662591E-2</c:v>
                </c:pt>
                <c:pt idx="9">
                  <c:v>-1.4547793532724769E-2</c:v>
                </c:pt>
                <c:pt idx="10">
                  <c:v>-1.4029980831601363E-2</c:v>
                </c:pt>
                <c:pt idx="11">
                  <c:v>-1.3395333874130586E-2</c:v>
                </c:pt>
                <c:pt idx="12">
                  <c:v>-1.2627638576841294E-2</c:v>
                </c:pt>
                <c:pt idx="13">
                  <c:v>-1.1710749098902993E-2</c:v>
                </c:pt>
                <c:pt idx="14">
                  <c:v>-1.0629081442461769E-2</c:v>
                </c:pt>
                <c:pt idx="15">
                  <c:v>-9.3681249613552491E-3</c:v>
                </c:pt>
                <c:pt idx="16">
                  <c:v>-7.9149430222823294E-3</c:v>
                </c:pt>
                <c:pt idx="17">
                  <c:v>-6.258633275753993E-3</c:v>
                </c:pt>
                <c:pt idx="18">
                  <c:v>-4.3907197110265774E-3</c:v>
                </c:pt>
                <c:pt idx="19">
                  <c:v>-2.3054527798078654E-3</c:v>
                </c:pt>
                <c:pt idx="20">
                  <c:v>0</c:v>
                </c:pt>
                <c:pt idx="21">
                  <c:v>2.5254830043999164E-3</c:v>
                </c:pt>
                <c:pt idx="22">
                  <c:v>5.2679028477854795E-3</c:v>
                </c:pt>
                <c:pt idx="23">
                  <c:v>8.2213938191948166E-3</c:v>
                </c:pt>
                <c:pt idx="24">
                  <c:v>1.1377584856173998E-2</c:v>
                </c:pt>
                <c:pt idx="25">
                  <c:v>1.4725948702417611E-2</c:v>
                </c:pt>
                <c:pt idx="26">
                  <c:v>1.8254209975310062E-2</c:v>
                </c:pt>
                <c:pt idx="27">
                  <c:v>2.1948787022661859E-2</c:v>
                </c:pt>
                <c:pt idx="28">
                  <c:v>2.5795242643042397E-2</c:v>
                </c:pt>
                <c:pt idx="29">
                  <c:v>2.9778720752198579E-2</c:v>
                </c:pt>
                <c:pt idx="30">
                  <c:v>3.3884349520541202E-2</c:v>
                </c:pt>
                <c:pt idx="31">
                  <c:v>3.809759591530229E-2</c:v>
                </c:pt>
                <c:pt idx="32">
                  <c:v>4.2404561460069032E-2</c:v>
                </c:pt>
                <c:pt idx="33">
                  <c:v>4.679221390709034E-2</c:v>
                </c:pt>
                <c:pt idx="34">
                  <c:v>5.1248554010067039E-2</c:v>
                </c:pt>
                <c:pt idx="35">
                  <c:v>5.5762720394098943E-2</c:v>
                </c:pt>
                <c:pt idx="36">
                  <c:v>6.0325038465152893E-2</c:v>
                </c:pt>
                <c:pt idx="37">
                  <c:v>6.4927021313806621E-2</c:v>
                </c:pt>
                <c:pt idx="38">
                  <c:v>6.9561331672660404E-2</c:v>
                </c:pt>
                <c:pt idx="39">
                  <c:v>7.4221714282766402E-2</c:v>
                </c:pt>
                <c:pt idx="40">
                  <c:v>7.8902907659219007E-2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0BE-4FB3-9938-E7B2D4943C25}"/>
            </c:ext>
          </c:extLst>
        </c:ser>
        <c:ser>
          <c:idx val="1"/>
          <c:order val="1"/>
          <c:tx>
            <c:v>Performance in x days with y% vol move</c:v>
          </c:tx>
          <c:spPr>
            <a:ln w="3492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'Option Pricer'!$B$206:$AP$206</c:f>
              <c:numCache>
                <c:formatCode>0.00</c:formatCode>
                <c:ptCount val="41"/>
                <c:pt idx="0">
                  <c:v>1710</c:v>
                </c:pt>
                <c:pt idx="1">
                  <c:v>1719.5</c:v>
                </c:pt>
                <c:pt idx="2">
                  <c:v>1729</c:v>
                </c:pt>
                <c:pt idx="3">
                  <c:v>1738.5</c:v>
                </c:pt>
                <c:pt idx="4">
                  <c:v>1748</c:v>
                </c:pt>
                <c:pt idx="5">
                  <c:v>1757.5</c:v>
                </c:pt>
                <c:pt idx="6">
                  <c:v>1766.9999999999998</c:v>
                </c:pt>
                <c:pt idx="7">
                  <c:v>1776.5</c:v>
                </c:pt>
                <c:pt idx="8">
                  <c:v>1786</c:v>
                </c:pt>
                <c:pt idx="9">
                  <c:v>1795.5</c:v>
                </c:pt>
                <c:pt idx="10">
                  <c:v>1805</c:v>
                </c:pt>
                <c:pt idx="11">
                  <c:v>1814.5</c:v>
                </c:pt>
                <c:pt idx="12">
                  <c:v>1824</c:v>
                </c:pt>
                <c:pt idx="13">
                  <c:v>1833.5</c:v>
                </c:pt>
                <c:pt idx="14">
                  <c:v>1843</c:v>
                </c:pt>
                <c:pt idx="15">
                  <c:v>1852.5</c:v>
                </c:pt>
                <c:pt idx="16">
                  <c:v>1862</c:v>
                </c:pt>
                <c:pt idx="17">
                  <c:v>1871.5</c:v>
                </c:pt>
                <c:pt idx="18">
                  <c:v>1881</c:v>
                </c:pt>
                <c:pt idx="19">
                  <c:v>1890.5</c:v>
                </c:pt>
                <c:pt idx="20" formatCode="General">
                  <c:v>1900</c:v>
                </c:pt>
                <c:pt idx="21">
                  <c:v>1909.4999999999998</c:v>
                </c:pt>
                <c:pt idx="22">
                  <c:v>1919</c:v>
                </c:pt>
                <c:pt idx="23">
                  <c:v>1928.4999999999998</c:v>
                </c:pt>
                <c:pt idx="24">
                  <c:v>1938</c:v>
                </c:pt>
                <c:pt idx="25">
                  <c:v>1947.4999999999998</c:v>
                </c:pt>
                <c:pt idx="26">
                  <c:v>1957</c:v>
                </c:pt>
                <c:pt idx="27">
                  <c:v>1966.4999999999998</c:v>
                </c:pt>
                <c:pt idx="28">
                  <c:v>1976</c:v>
                </c:pt>
                <c:pt idx="29">
                  <c:v>1985.4999999999998</c:v>
                </c:pt>
                <c:pt idx="30">
                  <c:v>1995</c:v>
                </c:pt>
                <c:pt idx="31">
                  <c:v>2004.4999999999998</c:v>
                </c:pt>
                <c:pt idx="32">
                  <c:v>2014</c:v>
                </c:pt>
                <c:pt idx="33">
                  <c:v>2023.5</c:v>
                </c:pt>
                <c:pt idx="34">
                  <c:v>2033.0000000000002</c:v>
                </c:pt>
                <c:pt idx="35">
                  <c:v>2042.5</c:v>
                </c:pt>
                <c:pt idx="36">
                  <c:v>2052</c:v>
                </c:pt>
                <c:pt idx="37">
                  <c:v>2061.5</c:v>
                </c:pt>
                <c:pt idx="38">
                  <c:v>2071</c:v>
                </c:pt>
                <c:pt idx="39">
                  <c:v>2080.5</c:v>
                </c:pt>
                <c:pt idx="40">
                  <c:v>2090</c:v>
                </c:pt>
              </c:numCache>
            </c:numRef>
          </c:cat>
          <c:val>
            <c:numRef>
              <c:f>'Option Pricer'!$B$219:$AP$219</c:f>
              <c:numCache>
                <c:formatCode>0.00%</c:formatCode>
                <c:ptCount val="41"/>
                <c:pt idx="0">
                  <c:v>-1.6295082995268564E-2</c:v>
                </c:pt>
                <c:pt idx="1">
                  <c:v>-1.6293190323411491E-2</c:v>
                </c:pt>
                <c:pt idx="2">
                  <c:v>-1.6289600554038268E-2</c:v>
                </c:pt>
                <c:pt idx="3">
                  <c:v>-1.6283019532073992E-2</c:v>
                </c:pt>
                <c:pt idx="4">
                  <c:v>-1.6271349722514004E-2</c:v>
                </c:pt>
                <c:pt idx="5">
                  <c:v>-1.6251319422248275E-2</c:v>
                </c:pt>
                <c:pt idx="6">
                  <c:v>-1.6218016949495453E-2</c:v>
                </c:pt>
                <c:pt idx="7">
                  <c:v>-1.6164345129477075E-2</c:v>
                </c:pt>
                <c:pt idx="8">
                  <c:v>-1.6080434502645399E-2</c:v>
                </c:pt>
                <c:pt idx="9">
                  <c:v>-1.5953080067482538E-2</c:v>
                </c:pt>
                <c:pt idx="10">
                  <c:v>-1.5765291004987868E-2</c:v>
                </c:pt>
                <c:pt idx="11">
                  <c:v>-1.5496059008273014E-2</c:v>
                </c:pt>
                <c:pt idx="12">
                  <c:v>-1.5120451558490913E-2</c:v>
                </c:pt>
                <c:pt idx="13">
                  <c:v>-1.4610116445393598E-2</c:v>
                </c:pt>
                <c:pt idx="14">
                  <c:v>-1.3934241497261753E-2</c:v>
                </c:pt>
                <c:pt idx="15">
                  <c:v>-1.306095256186228E-2</c:v>
                </c:pt>
                <c:pt idx="16">
                  <c:v>-1.1959062387263486E-2</c:v>
                </c:pt>
                <c:pt idx="17">
                  <c:v>-1.0600016309278374E-2</c:v>
                </c:pt>
                <c:pt idx="18">
                  <c:v>-8.9598318359434773E-3</c:v>
                </c:pt>
                <c:pt idx="19">
                  <c:v>-7.0208101883628728E-3</c:v>
                </c:pt>
                <c:pt idx="20">
                  <c:v>-4.7728147998276427E-3</c:v>
                </c:pt>
                <c:pt idx="21">
                  <c:v>-2.2139632900844502E-3</c:v>
                </c:pt>
                <c:pt idx="22">
                  <c:v>6.4934340918063071E-4</c:v>
                </c:pt>
                <c:pt idx="23">
                  <c:v>3.8030426835276216E-3</c:v>
                </c:pt>
                <c:pt idx="24">
                  <c:v>7.2265872213276338E-3</c:v>
                </c:pt>
                <c:pt idx="25">
                  <c:v>1.0894518280356634E-2</c:v>
                </c:pt>
                <c:pt idx="26">
                  <c:v>1.4778241625350632E-2</c:v>
                </c:pt>
                <c:pt idx="27">
                  <c:v>1.8847810014278991E-2</c:v>
                </c:pt>
                <c:pt idx="28">
                  <c:v>2.3073542009572238E-2</c:v>
                </c:pt>
                <c:pt idx="29">
                  <c:v>2.7427352754632976E-2</c:v>
                </c:pt>
                <c:pt idx="30">
                  <c:v>3.1883727433359189E-2</c:v>
                </c:pt>
                <c:pt idx="31">
                  <c:v>3.6420321972380688E-2</c:v>
                </c:pt>
                <c:pt idx="32">
                  <c:v>4.1018220044114456E-2</c:v>
                </c:pt>
                <c:pt idx="33">
                  <c:v>4.5661905905094786E-2</c:v>
                </c:pt>
                <c:pt idx="34">
                  <c:v>5.0339027907596631E-2</c:v>
                </c:pt>
                <c:pt idx="35">
                  <c:v>5.504002935669592E-2</c:v>
                </c:pt>
                <c:pt idx="36">
                  <c:v>5.9757715218906979E-2</c:v>
                </c:pt>
                <c:pt idx="37">
                  <c:v>6.4486809115395838E-2</c:v>
                </c:pt>
                <c:pt idx="38">
                  <c:v>6.9223538842206542E-2</c:v>
                </c:pt>
                <c:pt idx="39">
                  <c:v>7.3965273261881334E-2</c:v>
                </c:pt>
                <c:pt idx="40">
                  <c:v>7.871022061895161E-2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0BE-4FB3-9938-E7B2D4943C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7110152"/>
        <c:axId val="1"/>
      </c:lineChart>
      <c:catAx>
        <c:axId val="707110152"/>
        <c:scaling>
          <c:orientation val="minMax"/>
        </c:scaling>
        <c:delete val="0"/>
        <c:axPos val="b"/>
        <c:numFmt formatCode="#,##0.00" sourceLinked="0"/>
        <c:majorTickMark val="none"/>
        <c:minorTickMark val="none"/>
        <c:tickLblPos val="low"/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Performance (%  AUM)</a:t>
                </a:r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071101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7789346279901541"/>
          <c:y val="1.1844331641285956E-2"/>
          <c:w val="0.30742686956876508"/>
          <c:h val="0.109983257168996"/>
        </c:manualLayout>
      </c:layout>
      <c:overlay val="0"/>
      <c:spPr>
        <a:ln>
          <a:solidFill>
            <a:schemeClr val="bg1">
              <a:lumMod val="50000"/>
            </a:schemeClr>
          </a:solidFill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fr-FR"/>
              <a:t>Portfolio Delta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01252074415586"/>
          <c:y val="0.14348698740023225"/>
          <c:w val="0.86269105425843984"/>
          <c:h val="0.72088634700713561"/>
        </c:manualLayout>
      </c:layout>
      <c:lineChart>
        <c:grouping val="standard"/>
        <c:varyColors val="0"/>
        <c:ser>
          <c:idx val="0"/>
          <c:order val="0"/>
          <c:tx>
            <c:v>Instantaneous Delta</c:v>
          </c:tx>
          <c:spPr>
            <a:ln w="47625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'Option Pricer'!$B$206:$AP$206</c:f>
              <c:numCache>
                <c:formatCode>0.00</c:formatCode>
                <c:ptCount val="41"/>
                <c:pt idx="0">
                  <c:v>1710</c:v>
                </c:pt>
                <c:pt idx="1">
                  <c:v>1719.5</c:v>
                </c:pt>
                <c:pt idx="2">
                  <c:v>1729</c:v>
                </c:pt>
                <c:pt idx="3">
                  <c:v>1738.5</c:v>
                </c:pt>
                <c:pt idx="4">
                  <c:v>1748</c:v>
                </c:pt>
                <c:pt idx="5">
                  <c:v>1757.5</c:v>
                </c:pt>
                <c:pt idx="6">
                  <c:v>1766.9999999999998</c:v>
                </c:pt>
                <c:pt idx="7">
                  <c:v>1776.5</c:v>
                </c:pt>
                <c:pt idx="8">
                  <c:v>1786</c:v>
                </c:pt>
                <c:pt idx="9">
                  <c:v>1795.5</c:v>
                </c:pt>
                <c:pt idx="10">
                  <c:v>1805</c:v>
                </c:pt>
                <c:pt idx="11">
                  <c:v>1814.5</c:v>
                </c:pt>
                <c:pt idx="12">
                  <c:v>1824</c:v>
                </c:pt>
                <c:pt idx="13">
                  <c:v>1833.5</c:v>
                </c:pt>
                <c:pt idx="14">
                  <c:v>1843</c:v>
                </c:pt>
                <c:pt idx="15">
                  <c:v>1852.5</c:v>
                </c:pt>
                <c:pt idx="16">
                  <c:v>1862</c:v>
                </c:pt>
                <c:pt idx="17">
                  <c:v>1871.5</c:v>
                </c:pt>
                <c:pt idx="18">
                  <c:v>1881</c:v>
                </c:pt>
                <c:pt idx="19">
                  <c:v>1890.5</c:v>
                </c:pt>
                <c:pt idx="20" formatCode="General">
                  <c:v>1900</c:v>
                </c:pt>
                <c:pt idx="21">
                  <c:v>1909.4999999999998</c:v>
                </c:pt>
                <c:pt idx="22">
                  <c:v>1919</c:v>
                </c:pt>
                <c:pt idx="23">
                  <c:v>1928.4999999999998</c:v>
                </c:pt>
                <c:pt idx="24">
                  <c:v>1938</c:v>
                </c:pt>
                <c:pt idx="25">
                  <c:v>1947.4999999999998</c:v>
                </c:pt>
                <c:pt idx="26">
                  <c:v>1957</c:v>
                </c:pt>
                <c:pt idx="27">
                  <c:v>1966.4999999999998</c:v>
                </c:pt>
                <c:pt idx="28">
                  <c:v>1976</c:v>
                </c:pt>
                <c:pt idx="29">
                  <c:v>1985.4999999999998</c:v>
                </c:pt>
                <c:pt idx="30">
                  <c:v>1995</c:v>
                </c:pt>
                <c:pt idx="31">
                  <c:v>2004.4999999999998</c:v>
                </c:pt>
                <c:pt idx="32">
                  <c:v>2014</c:v>
                </c:pt>
                <c:pt idx="33">
                  <c:v>2023.5</c:v>
                </c:pt>
                <c:pt idx="34">
                  <c:v>2033.0000000000002</c:v>
                </c:pt>
                <c:pt idx="35">
                  <c:v>2042.5</c:v>
                </c:pt>
                <c:pt idx="36">
                  <c:v>2052</c:v>
                </c:pt>
                <c:pt idx="37">
                  <c:v>2061.5</c:v>
                </c:pt>
                <c:pt idx="38">
                  <c:v>2071</c:v>
                </c:pt>
                <c:pt idx="39">
                  <c:v>2080.5</c:v>
                </c:pt>
                <c:pt idx="40">
                  <c:v>2090</c:v>
                </c:pt>
              </c:numCache>
            </c:numRef>
          </c:cat>
          <c:val>
            <c:numRef>
              <c:f>'Option Pricer'!$B$229:$AP$229</c:f>
              <c:numCache>
                <c:formatCode>0.00%</c:formatCode>
                <c:ptCount val="41"/>
                <c:pt idx="0">
                  <c:v>7.2010020073314503E-3</c:v>
                </c:pt>
                <c:pt idx="1">
                  <c:v>1.0195884730468245E-2</c:v>
                </c:pt>
                <c:pt idx="2">
                  <c:v>1.4196389046152169E-2</c:v>
                </c:pt>
                <c:pt idx="3">
                  <c:v>1.9445223520029017E-2</c:v>
                </c:pt>
                <c:pt idx="4">
                  <c:v>2.6211467098064128E-2</c:v>
                </c:pt>
                <c:pt idx="5">
                  <c:v>3.478362145520307E-2</c:v>
                </c:pt>
                <c:pt idx="6">
                  <c:v>4.5459621550105897E-2</c:v>
                </c:pt>
                <c:pt idx="7">
                  <c:v>5.8533959642438092E-2</c:v>
                </c:pt>
                <c:pt idx="8">
                  <c:v>7.4282397701753447E-2</c:v>
                </c:pt>
                <c:pt idx="9">
                  <c:v>9.294506775934501E-2</c:v>
                </c:pt>
                <c:pt idx="10">
                  <c:v>0.11470904820915617</c:v>
                </c:pt>
                <c:pt idx="11">
                  <c:v>0.13969171433300806</c:v>
                </c:pt>
                <c:pt idx="12">
                  <c:v>0.16792625697328459</c:v>
                </c:pt>
                <c:pt idx="13">
                  <c:v>0.19935071970849028</c:v>
                </c:pt>
                <c:pt idx="14">
                  <c:v>0.23380171421474619</c:v>
                </c:pt>
                <c:pt idx="15">
                  <c:v>0.27101364701874636</c:v>
                </c:pt>
                <c:pt idx="16">
                  <c:v>0.31062385856605257</c:v>
                </c:pt>
                <c:pt idx="17">
                  <c:v>0.35218358263934169</c:v>
                </c:pt>
                <c:pt idx="18">
                  <c:v>0.39517413504454024</c:v>
                </c:pt>
                <c:pt idx="19">
                  <c:v>0.43902729117000894</c:v>
                </c:pt>
                <c:pt idx="20">
                  <c:v>0.48314846240560022</c:v>
                </c:pt>
                <c:pt idx="21">
                  <c:v>0.52694106847339062</c:v>
                </c:pt>
                <c:pt idx="22">
                  <c:v>0.56983044590059617</c:v>
                </c:pt>
                <c:pt idx="23">
                  <c:v>0.61128573213852844</c:v>
                </c:pt>
                <c:pt idx="24">
                  <c:v>0.65083840175727681</c:v>
                </c:pt>
                <c:pt idx="25">
                  <c:v>0.68809647244844785</c:v>
                </c:pt>
                <c:pt idx="26">
                  <c:v>0.7227538015395526</c:v>
                </c:pt>
                <c:pt idx="27">
                  <c:v>0.75459431244788877</c:v>
                </c:pt>
                <c:pt idx="28">
                  <c:v>0.78349138189289447</c:v>
                </c:pt>
                <c:pt idx="29">
                  <c:v>0.80940294745917196</c:v>
                </c:pt>
                <c:pt idx="30">
                  <c:v>0.83236313709363663</c:v>
                </c:pt>
                <c:pt idx="31">
                  <c:v>0.85247136569179682</c:v>
                </c:pt>
                <c:pt idx="32">
                  <c:v>0.8698798895443175</c:v>
                </c:pt>
                <c:pt idx="33">
                  <c:v>0.88478076772624537</c:v>
                </c:pt>
                <c:pt idx="34">
                  <c:v>0.89739306846393807</c:v>
                </c:pt>
                <c:pt idx="35">
                  <c:v>0.9079510000474349</c:v>
                </c:pt>
                <c:pt idx="36">
                  <c:v>0.91669346270976793</c:v>
                </c:pt>
                <c:pt idx="37">
                  <c:v>0.92385533093689887</c:v>
                </c:pt>
                <c:pt idx="38">
                  <c:v>0.92966060198642819</c:v>
                </c:pt>
                <c:pt idx="39">
                  <c:v>0.93431739822130655</c:v>
                </c:pt>
                <c:pt idx="40">
                  <c:v>0.93801469534895676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CC-4488-872A-DBB436E16103}"/>
            </c:ext>
          </c:extLst>
        </c:ser>
        <c:ser>
          <c:idx val="1"/>
          <c:order val="1"/>
          <c:tx>
            <c:v>Delta in x days with y% vol move</c:v>
          </c:tx>
          <c:spPr>
            <a:ln w="3492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'Option Pricer'!$B$206:$AP$206</c:f>
              <c:numCache>
                <c:formatCode>0.00</c:formatCode>
                <c:ptCount val="41"/>
                <c:pt idx="0">
                  <c:v>1710</c:v>
                </c:pt>
                <c:pt idx="1">
                  <c:v>1719.5</c:v>
                </c:pt>
                <c:pt idx="2">
                  <c:v>1729</c:v>
                </c:pt>
                <c:pt idx="3">
                  <c:v>1738.5</c:v>
                </c:pt>
                <c:pt idx="4">
                  <c:v>1748</c:v>
                </c:pt>
                <c:pt idx="5">
                  <c:v>1757.5</c:v>
                </c:pt>
                <c:pt idx="6">
                  <c:v>1766.9999999999998</c:v>
                </c:pt>
                <c:pt idx="7">
                  <c:v>1776.5</c:v>
                </c:pt>
                <c:pt idx="8">
                  <c:v>1786</c:v>
                </c:pt>
                <c:pt idx="9">
                  <c:v>1795.5</c:v>
                </c:pt>
                <c:pt idx="10">
                  <c:v>1805</c:v>
                </c:pt>
                <c:pt idx="11">
                  <c:v>1814.5</c:v>
                </c:pt>
                <c:pt idx="12">
                  <c:v>1824</c:v>
                </c:pt>
                <c:pt idx="13">
                  <c:v>1833.5</c:v>
                </c:pt>
                <c:pt idx="14">
                  <c:v>1843</c:v>
                </c:pt>
                <c:pt idx="15">
                  <c:v>1852.5</c:v>
                </c:pt>
                <c:pt idx="16">
                  <c:v>1862</c:v>
                </c:pt>
                <c:pt idx="17">
                  <c:v>1871.5</c:v>
                </c:pt>
                <c:pt idx="18">
                  <c:v>1881</c:v>
                </c:pt>
                <c:pt idx="19">
                  <c:v>1890.5</c:v>
                </c:pt>
                <c:pt idx="20" formatCode="General">
                  <c:v>1900</c:v>
                </c:pt>
                <c:pt idx="21">
                  <c:v>1909.4999999999998</c:v>
                </c:pt>
                <c:pt idx="22">
                  <c:v>1919</c:v>
                </c:pt>
                <c:pt idx="23">
                  <c:v>1928.4999999999998</c:v>
                </c:pt>
                <c:pt idx="24">
                  <c:v>1938</c:v>
                </c:pt>
                <c:pt idx="25">
                  <c:v>1947.4999999999998</c:v>
                </c:pt>
                <c:pt idx="26">
                  <c:v>1957</c:v>
                </c:pt>
                <c:pt idx="27">
                  <c:v>1966.4999999999998</c:v>
                </c:pt>
                <c:pt idx="28">
                  <c:v>1976</c:v>
                </c:pt>
                <c:pt idx="29">
                  <c:v>1985.4999999999998</c:v>
                </c:pt>
                <c:pt idx="30">
                  <c:v>1995</c:v>
                </c:pt>
                <c:pt idx="31">
                  <c:v>2004.4999999999998</c:v>
                </c:pt>
                <c:pt idx="32">
                  <c:v>2014</c:v>
                </c:pt>
                <c:pt idx="33">
                  <c:v>2023.5</c:v>
                </c:pt>
                <c:pt idx="34">
                  <c:v>2033.0000000000002</c:v>
                </c:pt>
                <c:pt idx="35">
                  <c:v>2042.5</c:v>
                </c:pt>
                <c:pt idx="36">
                  <c:v>2052</c:v>
                </c:pt>
                <c:pt idx="37">
                  <c:v>2061.5</c:v>
                </c:pt>
                <c:pt idx="38">
                  <c:v>2071</c:v>
                </c:pt>
                <c:pt idx="39">
                  <c:v>2080.5</c:v>
                </c:pt>
                <c:pt idx="40">
                  <c:v>2090</c:v>
                </c:pt>
              </c:numCache>
            </c:numRef>
          </c:cat>
          <c:val>
            <c:numRef>
              <c:f>'Option Pricer'!$B$236:$AP$236</c:f>
              <c:numCache>
                <c:formatCode>0.00%</c:formatCode>
                <c:ptCount val="41"/>
                <c:pt idx="0">
                  <c:v>2.6660450754113248E-4</c:v>
                </c:pt>
                <c:pt idx="1">
                  <c:v>5.1542747322959044E-4</c:v>
                </c:pt>
                <c:pt idx="2">
                  <c:v>9.6269999064596816E-4</c:v>
                </c:pt>
                <c:pt idx="3">
                  <c:v>1.7383920513412141E-3</c:v>
                </c:pt>
                <c:pt idx="4">
                  <c:v>3.0370290582942432E-3</c:v>
                </c:pt>
                <c:pt idx="5">
                  <c:v>5.1369773895810714E-3</c:v>
                </c:pt>
                <c:pt idx="6">
                  <c:v>8.4185972564412171E-3</c:v>
                </c:pt>
                <c:pt idx="7">
                  <c:v>1.3377191952693686E-2</c:v>
                </c:pt>
                <c:pt idx="8">
                  <c:v>2.0625673030995179E-2</c:v>
                </c:pt>
                <c:pt idx="9">
                  <c:v>3.0881637090295996E-2</c:v>
                </c:pt>
                <c:pt idx="10">
                  <c:v>4.4934532780888471E-2</c:v>
                </c:pt>
                <c:pt idx="11">
                  <c:v>6.3591009107914126E-2</c:v>
                </c:pt>
                <c:pt idx="12">
                  <c:v>8.7600250841446584E-2</c:v>
                </c:pt>
                <c:pt idx="13">
                  <c:v>0.11756556859131512</c:v>
                </c:pt>
                <c:pt idx="14">
                  <c:v>0.15385278684139914</c:v>
                </c:pt>
                <c:pt idx="15">
                  <c:v>0.1965089470808932</c:v>
                </c:pt>
                <c:pt idx="16">
                  <c:v>0.2452055188362387</c:v>
                </c:pt>
                <c:pt idx="17">
                  <c:v>0.29921813436927897</c:v>
                </c:pt>
                <c:pt idx="18">
                  <c:v>0.35744995113027767</c:v>
                </c:pt>
                <c:pt idx="19">
                  <c:v>0.41849893730787091</c:v>
                </c:pt>
                <c:pt idx="20">
                  <c:v>0.48076205500568636</c:v>
                </c:pt>
                <c:pt idx="21">
                  <c:v>0.54256306534269905</c:v>
                </c:pt>
                <c:pt idx="22">
                  <c:v>0.60228685909937119</c:v>
                </c:pt>
                <c:pt idx="23">
                  <c:v>0.6585026011949725</c:v>
                </c:pt>
                <c:pt idx="24">
                  <c:v>0.71006057367378472</c:v>
                </c:pt>
                <c:pt idx="25">
                  <c:v>0.75615268446450901</c:v>
                </c:pt>
                <c:pt idx="26">
                  <c:v>0.79633295615066346</c:v>
                </c:pt>
                <c:pt idx="27">
                  <c:v>0.830500549389808</c:v>
                </c:pt>
                <c:pt idx="28">
                  <c:v>0.85885283541727864</c:v>
                </c:pt>
                <c:pt idx="29">
                  <c:v>0.88181898139930381</c:v>
                </c:pt>
                <c:pt idx="30">
                  <c:v>0.89998526056486539</c:v>
                </c:pt>
                <c:pt idx="31">
                  <c:v>0.91402213806163946</c:v>
                </c:pt>
                <c:pt idx="32">
                  <c:v>0.92462072479013691</c:v>
                </c:pt>
                <c:pt idx="33">
                  <c:v>0.93244316157296747</c:v>
                </c:pt>
                <c:pt idx="34">
                  <c:v>0.93808855330959207</c:v>
                </c:pt>
                <c:pt idx="35">
                  <c:v>0.94207368670103664</c:v>
                </c:pt>
                <c:pt idx="36">
                  <c:v>0.94482617114434853</c:v>
                </c:pt>
                <c:pt idx="37">
                  <c:v>0.9466868621867679</c:v>
                </c:pt>
                <c:pt idx="38">
                  <c:v>0.94791832960525269</c:v>
                </c:pt>
                <c:pt idx="39">
                  <c:v>0.94871650899273474</c:v>
                </c:pt>
                <c:pt idx="40">
                  <c:v>0.94922330652712905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1CC-4488-872A-DBB436E161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7109496"/>
        <c:axId val="1"/>
      </c:lineChart>
      <c:catAx>
        <c:axId val="707109496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low"/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Delta  (%  AUM)</a:t>
                </a:r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0710949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7928562557440575"/>
          <c:y val="1.2474012474012475E-2"/>
          <c:w val="0.30704554675145102"/>
          <c:h val="0.11018732845504497"/>
        </c:manualLayout>
      </c:layout>
      <c:overlay val="0"/>
      <c:spPr>
        <a:ln>
          <a:solidFill>
            <a:schemeClr val="bg1">
              <a:lumMod val="50000"/>
            </a:schemeClr>
          </a:solidFill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fr-FR"/>
              <a:t>Portfolio Theta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01252074415586"/>
          <c:y val="0.14348698740023225"/>
          <c:w val="0.86269105425843984"/>
          <c:h val="0.72088634700713561"/>
        </c:manualLayout>
      </c:layout>
      <c:lineChart>
        <c:grouping val="standard"/>
        <c:varyColors val="0"/>
        <c:ser>
          <c:idx val="0"/>
          <c:order val="0"/>
          <c:tx>
            <c:v>Instantaneous Theta</c:v>
          </c:tx>
          <c:spPr>
            <a:ln w="47625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'Option Pricer'!$B$206:$AP$206</c:f>
              <c:numCache>
                <c:formatCode>0.00</c:formatCode>
                <c:ptCount val="41"/>
                <c:pt idx="0">
                  <c:v>1710</c:v>
                </c:pt>
                <c:pt idx="1">
                  <c:v>1719.5</c:v>
                </c:pt>
                <c:pt idx="2">
                  <c:v>1729</c:v>
                </c:pt>
                <c:pt idx="3">
                  <c:v>1738.5</c:v>
                </c:pt>
                <c:pt idx="4">
                  <c:v>1748</c:v>
                </c:pt>
                <c:pt idx="5">
                  <c:v>1757.5</c:v>
                </c:pt>
                <c:pt idx="6">
                  <c:v>1766.9999999999998</c:v>
                </c:pt>
                <c:pt idx="7">
                  <c:v>1776.5</c:v>
                </c:pt>
                <c:pt idx="8">
                  <c:v>1786</c:v>
                </c:pt>
                <c:pt idx="9">
                  <c:v>1795.5</c:v>
                </c:pt>
                <c:pt idx="10">
                  <c:v>1805</c:v>
                </c:pt>
                <c:pt idx="11">
                  <c:v>1814.5</c:v>
                </c:pt>
                <c:pt idx="12">
                  <c:v>1824</c:v>
                </c:pt>
                <c:pt idx="13">
                  <c:v>1833.5</c:v>
                </c:pt>
                <c:pt idx="14">
                  <c:v>1843</c:v>
                </c:pt>
                <c:pt idx="15">
                  <c:v>1852.5</c:v>
                </c:pt>
                <c:pt idx="16">
                  <c:v>1862</c:v>
                </c:pt>
                <c:pt idx="17">
                  <c:v>1871.5</c:v>
                </c:pt>
                <c:pt idx="18">
                  <c:v>1881</c:v>
                </c:pt>
                <c:pt idx="19">
                  <c:v>1890.5</c:v>
                </c:pt>
                <c:pt idx="20" formatCode="General">
                  <c:v>1900</c:v>
                </c:pt>
                <c:pt idx="21">
                  <c:v>1909.4999999999998</c:v>
                </c:pt>
                <c:pt idx="22">
                  <c:v>1919</c:v>
                </c:pt>
                <c:pt idx="23">
                  <c:v>1928.4999999999998</c:v>
                </c:pt>
                <c:pt idx="24">
                  <c:v>1938</c:v>
                </c:pt>
                <c:pt idx="25">
                  <c:v>1947.4999999999998</c:v>
                </c:pt>
                <c:pt idx="26">
                  <c:v>1957</c:v>
                </c:pt>
                <c:pt idx="27">
                  <c:v>1966.4999999999998</c:v>
                </c:pt>
                <c:pt idx="28">
                  <c:v>1976</c:v>
                </c:pt>
                <c:pt idx="29">
                  <c:v>1985.4999999999998</c:v>
                </c:pt>
                <c:pt idx="30">
                  <c:v>1995</c:v>
                </c:pt>
                <c:pt idx="31">
                  <c:v>2004.4999999999998</c:v>
                </c:pt>
                <c:pt idx="32">
                  <c:v>2014</c:v>
                </c:pt>
                <c:pt idx="33">
                  <c:v>2023.5</c:v>
                </c:pt>
                <c:pt idx="34">
                  <c:v>2033.0000000000002</c:v>
                </c:pt>
                <c:pt idx="35">
                  <c:v>2042.5</c:v>
                </c:pt>
                <c:pt idx="36">
                  <c:v>2052</c:v>
                </c:pt>
                <c:pt idx="37">
                  <c:v>2061.5</c:v>
                </c:pt>
                <c:pt idx="38">
                  <c:v>2071</c:v>
                </c:pt>
                <c:pt idx="39">
                  <c:v>2080.5</c:v>
                </c:pt>
                <c:pt idx="40">
                  <c:v>2090</c:v>
                </c:pt>
              </c:numCache>
            </c:numRef>
          </c:cat>
          <c:val>
            <c:numRef>
              <c:f>'Option Pricer'!$B$246:$AP$246</c:f>
              <c:numCache>
                <c:formatCode>0.00</c:formatCode>
                <c:ptCount val="41"/>
                <c:pt idx="0">
                  <c:v>-0.12809857905743915</c:v>
                </c:pt>
                <c:pt idx="1">
                  <c:v>-0.17467213989374783</c:v>
                </c:pt>
                <c:pt idx="2">
                  <c:v>-0.23389034034521425</c:v>
                </c:pt>
                <c:pt idx="3">
                  <c:v>-0.30763502897473111</c:v>
                </c:pt>
                <c:pt idx="4">
                  <c:v>-0.39757328927886787</c:v>
                </c:pt>
                <c:pt idx="5">
                  <c:v>-0.50498348072098875</c:v>
                </c:pt>
                <c:pt idx="6">
                  <c:v>-0.63057099370164327</c:v>
                </c:pt>
                <c:pt idx="7">
                  <c:v>-0.77428997847545422</c:v>
                </c:pt>
                <c:pt idx="8">
                  <c:v>-0.93519001082590336</c:v>
                </c:pt>
                <c:pt idx="9">
                  <c:v>-1.1113073887916474</c:v>
                </c:pt>
                <c:pt idx="10">
                  <c:v>-1.2996190736644493</c:v>
                </c:pt>
                <c:pt idx="11">
                  <c:v>-1.4960730707808456</c:v>
                </c:pt>
                <c:pt idx="12">
                  <c:v>-1.6957025479950261</c:v>
                </c:pt>
                <c:pt idx="13">
                  <c:v>-1.8928228497876871</c:v>
                </c:pt>
                <c:pt idx="14">
                  <c:v>-2.0813017318548153</c:v>
                </c:pt>
                <c:pt idx="15">
                  <c:v>-2.2548847441630757</c:v>
                </c:pt>
                <c:pt idx="16">
                  <c:v>-2.4075508679951301</c:v>
                </c:pt>
                <c:pt idx="17">
                  <c:v>-2.5338692298412133</c:v>
                </c:pt>
                <c:pt idx="18">
                  <c:v>-2.6293266070661909</c:v>
                </c:pt>
                <c:pt idx="19">
                  <c:v>-2.6905977070409945</c:v>
                </c:pt>
                <c:pt idx="20">
                  <c:v>-2.7157355756051818</c:v>
                </c:pt>
                <c:pt idx="21">
                  <c:v>-2.704267282910866</c:v>
                </c:pt>
                <c:pt idx="22">
                  <c:v>-2.6571892458420772</c:v>
                </c:pt>
                <c:pt idx="23">
                  <c:v>-2.5768660254645783</c:v>
                </c:pt>
                <c:pt idx="24">
                  <c:v>-2.4668450564997233</c:v>
                </c:pt>
                <c:pt idx="25">
                  <c:v>-2.33160657618363</c:v>
                </c:pt>
                <c:pt idx="26">
                  <c:v>-2.1762723755159374</c:v>
                </c:pt>
                <c:pt idx="27">
                  <c:v>-2.0062986146483879</c:v>
                </c:pt>
                <c:pt idx="28">
                  <c:v>-1.8271769109667331</c:v>
                </c:pt>
                <c:pt idx="29">
                  <c:v>-1.6441646236720417</c:v>
                </c:pt>
                <c:pt idx="30">
                  <c:v>-1.4620603468629247</c:v>
                </c:pt>
                <c:pt idx="31">
                  <c:v>-1.2850348213856795</c:v>
                </c:pt>
                <c:pt idx="32">
                  <c:v>-1.1165215222288811</c:v>
                </c:pt>
                <c:pt idx="33">
                  <c:v>-0.95916571750306845</c:v>
                </c:pt>
                <c:pt idx="34">
                  <c:v>-0.8148263115073171</c:v>
                </c:pt>
                <c:pt idx="35">
                  <c:v>-0.68462156929212814</c:v>
                </c:pt>
                <c:pt idx="36">
                  <c:v>-0.56900797044956175</c:v>
                </c:pt>
                <c:pt idx="37">
                  <c:v>-0.46788088328663791</c:v>
                </c:pt>
                <c:pt idx="38">
                  <c:v>-0.38068628775336388</c:v>
                </c:pt>
                <c:pt idx="39">
                  <c:v>-0.30653413018841086</c:v>
                </c:pt>
                <c:pt idx="40">
                  <c:v>-0.24430576085462932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13-49F9-88E7-EB20FB99D839}"/>
            </c:ext>
          </c:extLst>
        </c:ser>
        <c:ser>
          <c:idx val="1"/>
          <c:order val="1"/>
          <c:tx>
            <c:v>Theta in x days with y% vol move</c:v>
          </c:tx>
          <c:spPr>
            <a:ln w="3492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'Option Pricer'!$B$206:$AP$206</c:f>
              <c:numCache>
                <c:formatCode>0.00</c:formatCode>
                <c:ptCount val="41"/>
                <c:pt idx="0">
                  <c:v>1710</c:v>
                </c:pt>
                <c:pt idx="1">
                  <c:v>1719.5</c:v>
                </c:pt>
                <c:pt idx="2">
                  <c:v>1729</c:v>
                </c:pt>
                <c:pt idx="3">
                  <c:v>1738.5</c:v>
                </c:pt>
                <c:pt idx="4">
                  <c:v>1748</c:v>
                </c:pt>
                <c:pt idx="5">
                  <c:v>1757.5</c:v>
                </c:pt>
                <c:pt idx="6">
                  <c:v>1766.9999999999998</c:v>
                </c:pt>
                <c:pt idx="7">
                  <c:v>1776.5</c:v>
                </c:pt>
                <c:pt idx="8">
                  <c:v>1786</c:v>
                </c:pt>
                <c:pt idx="9">
                  <c:v>1795.5</c:v>
                </c:pt>
                <c:pt idx="10">
                  <c:v>1805</c:v>
                </c:pt>
                <c:pt idx="11">
                  <c:v>1814.5</c:v>
                </c:pt>
                <c:pt idx="12">
                  <c:v>1824</c:v>
                </c:pt>
                <c:pt idx="13">
                  <c:v>1833.5</c:v>
                </c:pt>
                <c:pt idx="14">
                  <c:v>1843</c:v>
                </c:pt>
                <c:pt idx="15">
                  <c:v>1852.5</c:v>
                </c:pt>
                <c:pt idx="16">
                  <c:v>1862</c:v>
                </c:pt>
                <c:pt idx="17">
                  <c:v>1871.5</c:v>
                </c:pt>
                <c:pt idx="18">
                  <c:v>1881</c:v>
                </c:pt>
                <c:pt idx="19">
                  <c:v>1890.5</c:v>
                </c:pt>
                <c:pt idx="20" formatCode="General">
                  <c:v>1900</c:v>
                </c:pt>
                <c:pt idx="21">
                  <c:v>1909.4999999999998</c:v>
                </c:pt>
                <c:pt idx="22">
                  <c:v>1919</c:v>
                </c:pt>
                <c:pt idx="23">
                  <c:v>1928.4999999999998</c:v>
                </c:pt>
                <c:pt idx="24">
                  <c:v>1938</c:v>
                </c:pt>
                <c:pt idx="25">
                  <c:v>1947.4999999999998</c:v>
                </c:pt>
                <c:pt idx="26">
                  <c:v>1957</c:v>
                </c:pt>
                <c:pt idx="27">
                  <c:v>1966.4999999999998</c:v>
                </c:pt>
                <c:pt idx="28">
                  <c:v>1976</c:v>
                </c:pt>
                <c:pt idx="29">
                  <c:v>1985.4999999999998</c:v>
                </c:pt>
                <c:pt idx="30">
                  <c:v>1995</c:v>
                </c:pt>
                <c:pt idx="31">
                  <c:v>2004.4999999999998</c:v>
                </c:pt>
                <c:pt idx="32">
                  <c:v>2014</c:v>
                </c:pt>
                <c:pt idx="33">
                  <c:v>2023.5</c:v>
                </c:pt>
                <c:pt idx="34">
                  <c:v>2033.0000000000002</c:v>
                </c:pt>
                <c:pt idx="35">
                  <c:v>2042.5</c:v>
                </c:pt>
                <c:pt idx="36">
                  <c:v>2052</c:v>
                </c:pt>
                <c:pt idx="37">
                  <c:v>2061.5</c:v>
                </c:pt>
                <c:pt idx="38">
                  <c:v>2071</c:v>
                </c:pt>
                <c:pt idx="39">
                  <c:v>2080.5</c:v>
                </c:pt>
                <c:pt idx="40">
                  <c:v>2090</c:v>
                </c:pt>
              </c:numCache>
            </c:numRef>
          </c:cat>
          <c:val>
            <c:numRef>
              <c:f>'Option Pricer'!$B$253:$AP$253</c:f>
              <c:numCache>
                <c:formatCode>0.00</c:formatCode>
                <c:ptCount val="41"/>
                <c:pt idx="0">
                  <c:v>-9.0083465063719604E-3</c:v>
                </c:pt>
                <c:pt idx="1">
                  <c:v>-1.6703239373306009E-2</c:v>
                </c:pt>
                <c:pt idx="2">
                  <c:v>-2.9866311375070079E-2</c:v>
                </c:pt>
                <c:pt idx="3">
                  <c:v>-5.1527460150388602E-2</c:v>
                </c:pt>
                <c:pt idx="4">
                  <c:v>-8.5825866576858909E-2</c:v>
                </c:pt>
                <c:pt idx="5">
                  <c:v>-0.13808966932848699</c:v>
                </c:pt>
                <c:pt idx="6">
                  <c:v>-0.21473568273931543</c:v>
                </c:pt>
                <c:pt idx="7">
                  <c:v>-0.32290828212909273</c:v>
                </c:pt>
                <c:pt idx="8">
                  <c:v>-0.46980053263391797</c:v>
                </c:pt>
                <c:pt idx="9">
                  <c:v>-0.66165288809921197</c:v>
                </c:pt>
                <c:pt idx="10">
                  <c:v>-0.90250177255640063</c:v>
                </c:pt>
                <c:pt idx="11">
                  <c:v>-1.1928384746831864</c:v>
                </c:pt>
                <c:pt idx="12">
                  <c:v>-1.5284155306271887</c:v>
                </c:pt>
                <c:pt idx="13">
                  <c:v>-1.899476812858683</c:v>
                </c:pt>
                <c:pt idx="14">
                  <c:v>-2.2906668829888686</c:v>
                </c:pt>
                <c:pt idx="15">
                  <c:v>-2.6817858924102622</c:v>
                </c:pt>
                <c:pt idx="16">
                  <c:v>-3.0494085874772461</c:v>
                </c:pt>
                <c:pt idx="17">
                  <c:v>-3.3692093181493052</c:v>
                </c:pt>
                <c:pt idx="18">
                  <c:v>-3.6186717347241251</c:v>
                </c:pt>
                <c:pt idx="19">
                  <c:v>-3.7797555044120625</c:v>
                </c:pt>
                <c:pt idx="20">
                  <c:v>-3.8410740169376894</c:v>
                </c:pt>
                <c:pt idx="21">
                  <c:v>-3.7992153396171191</c:v>
                </c:pt>
                <c:pt idx="22">
                  <c:v>-3.6589965361140599</c:v>
                </c:pt>
                <c:pt idx="23">
                  <c:v>-3.4326408868933806</c:v>
                </c:pt>
                <c:pt idx="24">
                  <c:v>-3.1380609274968494</c:v>
                </c:pt>
                <c:pt idx="25">
                  <c:v>-2.7965740502158747</c:v>
                </c:pt>
                <c:pt idx="26">
                  <c:v>-2.4304438910463322</c:v>
                </c:pt>
                <c:pt idx="27">
                  <c:v>-2.0606236724285187</c:v>
                </c:pt>
                <c:pt idx="28">
                  <c:v>-1.7049915883047722</c:v>
                </c:pt>
                <c:pt idx="29">
                  <c:v>-1.3772417100940801</c:v>
                </c:pt>
                <c:pt idx="30">
                  <c:v>-1.0864597975709318</c:v>
                </c:pt>
                <c:pt idx="31">
                  <c:v>-0.83730035544776471</c:v>
                </c:pt>
                <c:pt idx="32">
                  <c:v>-0.63060727754628199</c:v>
                </c:pt>
                <c:pt idx="33">
                  <c:v>-0.4642909354033512</c:v>
                </c:pt>
                <c:pt idx="34">
                  <c:v>-0.33428424832958004</c:v>
                </c:pt>
                <c:pt idx="35">
                  <c:v>-0.23543695716322555</c:v>
                </c:pt>
                <c:pt idx="36">
                  <c:v>-0.16225666116469911</c:v>
                </c:pt>
                <c:pt idx="37">
                  <c:v>-0.10945445583862472</c:v>
                </c:pt>
                <c:pt idx="38">
                  <c:v>-7.2293446861045357E-2</c:v>
                </c:pt>
                <c:pt idx="39">
                  <c:v>-4.6765795601620821E-2</c:v>
                </c:pt>
                <c:pt idx="40">
                  <c:v>-2.9637992679184752E-2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13-49F9-88E7-EB20FB99D8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9311664"/>
        <c:axId val="1"/>
      </c:lineChart>
      <c:catAx>
        <c:axId val="709311664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low"/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Theta  ( bps 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09311664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67781564093785929"/>
          <c:y val="1.2474012474012475E-2"/>
          <c:w val="0.30769265881898544"/>
          <c:h val="0.11018732845504497"/>
        </c:manualLayout>
      </c:layout>
      <c:overlay val="0"/>
      <c:spPr>
        <a:ln>
          <a:solidFill>
            <a:schemeClr val="bg1">
              <a:lumMod val="50000"/>
            </a:schemeClr>
          </a:solidFill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fr-FR"/>
              <a:t>Portfolio Vega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01252074415586"/>
          <c:y val="0.14348698740023225"/>
          <c:w val="0.86269105425843984"/>
          <c:h val="0.72088634700713561"/>
        </c:manualLayout>
      </c:layout>
      <c:lineChart>
        <c:grouping val="standard"/>
        <c:varyColors val="0"/>
        <c:ser>
          <c:idx val="0"/>
          <c:order val="0"/>
          <c:tx>
            <c:v>Instantaneous Vega</c:v>
          </c:tx>
          <c:spPr>
            <a:ln w="47625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'Option Pricer'!$B$206:$AP$206</c:f>
              <c:numCache>
                <c:formatCode>0.00</c:formatCode>
                <c:ptCount val="41"/>
                <c:pt idx="0">
                  <c:v>1710</c:v>
                </c:pt>
                <c:pt idx="1">
                  <c:v>1719.5</c:v>
                </c:pt>
                <c:pt idx="2">
                  <c:v>1729</c:v>
                </c:pt>
                <c:pt idx="3">
                  <c:v>1738.5</c:v>
                </c:pt>
                <c:pt idx="4">
                  <c:v>1748</c:v>
                </c:pt>
                <c:pt idx="5">
                  <c:v>1757.5</c:v>
                </c:pt>
                <c:pt idx="6">
                  <c:v>1766.9999999999998</c:v>
                </c:pt>
                <c:pt idx="7">
                  <c:v>1776.5</c:v>
                </c:pt>
                <c:pt idx="8">
                  <c:v>1786</c:v>
                </c:pt>
                <c:pt idx="9">
                  <c:v>1795.5</c:v>
                </c:pt>
                <c:pt idx="10">
                  <c:v>1805</c:v>
                </c:pt>
                <c:pt idx="11">
                  <c:v>1814.5</c:v>
                </c:pt>
                <c:pt idx="12">
                  <c:v>1824</c:v>
                </c:pt>
                <c:pt idx="13">
                  <c:v>1833.5</c:v>
                </c:pt>
                <c:pt idx="14">
                  <c:v>1843</c:v>
                </c:pt>
                <c:pt idx="15">
                  <c:v>1852.5</c:v>
                </c:pt>
                <c:pt idx="16">
                  <c:v>1862</c:v>
                </c:pt>
                <c:pt idx="17">
                  <c:v>1871.5</c:v>
                </c:pt>
                <c:pt idx="18">
                  <c:v>1881</c:v>
                </c:pt>
                <c:pt idx="19">
                  <c:v>1890.5</c:v>
                </c:pt>
                <c:pt idx="20" formatCode="General">
                  <c:v>1900</c:v>
                </c:pt>
                <c:pt idx="21">
                  <c:v>1909.4999999999998</c:v>
                </c:pt>
                <c:pt idx="22">
                  <c:v>1919</c:v>
                </c:pt>
                <c:pt idx="23">
                  <c:v>1928.4999999999998</c:v>
                </c:pt>
                <c:pt idx="24">
                  <c:v>1938</c:v>
                </c:pt>
                <c:pt idx="25">
                  <c:v>1947.4999999999998</c:v>
                </c:pt>
                <c:pt idx="26">
                  <c:v>1957</c:v>
                </c:pt>
                <c:pt idx="27">
                  <c:v>1966.4999999999998</c:v>
                </c:pt>
                <c:pt idx="28">
                  <c:v>1976</c:v>
                </c:pt>
                <c:pt idx="29">
                  <c:v>1985.4999999999998</c:v>
                </c:pt>
                <c:pt idx="30">
                  <c:v>1995</c:v>
                </c:pt>
                <c:pt idx="31">
                  <c:v>2004.4999999999998</c:v>
                </c:pt>
                <c:pt idx="32">
                  <c:v>2014</c:v>
                </c:pt>
                <c:pt idx="33">
                  <c:v>2023.5</c:v>
                </c:pt>
                <c:pt idx="34">
                  <c:v>2033.0000000000002</c:v>
                </c:pt>
                <c:pt idx="35">
                  <c:v>2042.5</c:v>
                </c:pt>
                <c:pt idx="36">
                  <c:v>2052</c:v>
                </c:pt>
                <c:pt idx="37">
                  <c:v>2061.5</c:v>
                </c:pt>
                <c:pt idx="38">
                  <c:v>2071</c:v>
                </c:pt>
                <c:pt idx="39">
                  <c:v>2080.5</c:v>
                </c:pt>
                <c:pt idx="40">
                  <c:v>2090</c:v>
                </c:pt>
              </c:numCache>
            </c:numRef>
          </c:cat>
          <c:val>
            <c:numRef>
              <c:f>'Option Pricer'!$B$263:$AP$263</c:f>
              <c:numCache>
                <c:formatCode>0.00</c:formatCode>
                <c:ptCount val="41"/>
                <c:pt idx="0">
                  <c:v>0.51239431622975695</c:v>
                </c:pt>
                <c:pt idx="1">
                  <c:v>0.69868855957499132</c:v>
                </c:pt>
                <c:pt idx="2">
                  <c:v>0.93556136138085699</c:v>
                </c:pt>
                <c:pt idx="3">
                  <c:v>1.2305401158989244</c:v>
                </c:pt>
                <c:pt idx="4">
                  <c:v>1.5902931571154715</c:v>
                </c:pt>
                <c:pt idx="5">
                  <c:v>2.019933922883955</c:v>
                </c:pt>
                <c:pt idx="6">
                  <c:v>2.5222839748065726</c:v>
                </c:pt>
                <c:pt idx="7">
                  <c:v>3.0971599139018169</c:v>
                </c:pt>
                <c:pt idx="8">
                  <c:v>3.7407600433036126</c:v>
                </c:pt>
                <c:pt idx="9">
                  <c:v>4.4452295551665895</c:v>
                </c:pt>
                <c:pt idx="10">
                  <c:v>5.1984762946577971</c:v>
                </c:pt>
                <c:pt idx="11">
                  <c:v>5.9842922831233833</c:v>
                </c:pt>
                <c:pt idx="12">
                  <c:v>6.7828101919801043</c:v>
                </c:pt>
                <c:pt idx="13">
                  <c:v>7.5712913991507467</c:v>
                </c:pt>
                <c:pt idx="14">
                  <c:v>8.325206927419261</c:v>
                </c:pt>
                <c:pt idx="15">
                  <c:v>9.0195389766523064</c:v>
                </c:pt>
                <c:pt idx="16">
                  <c:v>9.6302034719805238</c:v>
                </c:pt>
                <c:pt idx="17">
                  <c:v>10.135476919364857</c:v>
                </c:pt>
                <c:pt idx="18">
                  <c:v>10.517306428264764</c:v>
                </c:pt>
                <c:pt idx="19">
                  <c:v>10.762390828163978</c:v>
                </c:pt>
                <c:pt idx="20">
                  <c:v>10.862942302420727</c:v>
                </c:pt>
                <c:pt idx="21">
                  <c:v>10.817069131643464</c:v>
                </c:pt>
                <c:pt idx="22">
                  <c:v>10.62875698336831</c:v>
                </c:pt>
                <c:pt idx="23">
                  <c:v>10.307464101858315</c:v>
                </c:pt>
                <c:pt idx="24">
                  <c:v>9.8673802259988932</c:v>
                </c:pt>
                <c:pt idx="25">
                  <c:v>9.3264263047345199</c:v>
                </c:pt>
                <c:pt idx="26">
                  <c:v>8.7050895020637498</c:v>
                </c:pt>
                <c:pt idx="27">
                  <c:v>8.0251944585935515</c:v>
                </c:pt>
                <c:pt idx="28">
                  <c:v>7.3087076438669341</c:v>
                </c:pt>
                <c:pt idx="29">
                  <c:v>6.576658494688167</c:v>
                </c:pt>
                <c:pt idx="30">
                  <c:v>5.848241387451699</c:v>
                </c:pt>
                <c:pt idx="31">
                  <c:v>5.140139285542717</c:v>
                </c:pt>
                <c:pt idx="32">
                  <c:v>4.4660860889155254</c:v>
                </c:pt>
                <c:pt idx="33">
                  <c:v>3.8366628700122738</c:v>
                </c:pt>
                <c:pt idx="34">
                  <c:v>3.2593052460292693</c:v>
                </c:pt>
                <c:pt idx="35">
                  <c:v>2.7384862771685126</c:v>
                </c:pt>
                <c:pt idx="36">
                  <c:v>2.276031881798247</c:v>
                </c:pt>
                <c:pt idx="37">
                  <c:v>1.8715235331465521</c:v>
                </c:pt>
                <c:pt idx="38">
                  <c:v>1.5227451510134555</c:v>
                </c:pt>
                <c:pt idx="39">
                  <c:v>1.2261365207536434</c:v>
                </c:pt>
                <c:pt idx="40">
                  <c:v>0.97722304341851729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D-4728-AC9C-809FB666A07B}"/>
            </c:ext>
          </c:extLst>
        </c:ser>
        <c:ser>
          <c:idx val="1"/>
          <c:order val="1"/>
          <c:tx>
            <c:v>Vega in x days with y% vol move</c:v>
          </c:tx>
          <c:spPr>
            <a:ln w="3492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'Option Pricer'!$B$206:$AP$206</c:f>
              <c:numCache>
                <c:formatCode>0.00</c:formatCode>
                <c:ptCount val="41"/>
                <c:pt idx="0">
                  <c:v>1710</c:v>
                </c:pt>
                <c:pt idx="1">
                  <c:v>1719.5</c:v>
                </c:pt>
                <c:pt idx="2">
                  <c:v>1729</c:v>
                </c:pt>
                <c:pt idx="3">
                  <c:v>1738.5</c:v>
                </c:pt>
                <c:pt idx="4">
                  <c:v>1748</c:v>
                </c:pt>
                <c:pt idx="5">
                  <c:v>1757.5</c:v>
                </c:pt>
                <c:pt idx="6">
                  <c:v>1766.9999999999998</c:v>
                </c:pt>
                <c:pt idx="7">
                  <c:v>1776.5</c:v>
                </c:pt>
                <c:pt idx="8">
                  <c:v>1786</c:v>
                </c:pt>
                <c:pt idx="9">
                  <c:v>1795.5</c:v>
                </c:pt>
                <c:pt idx="10">
                  <c:v>1805</c:v>
                </c:pt>
                <c:pt idx="11">
                  <c:v>1814.5</c:v>
                </c:pt>
                <c:pt idx="12">
                  <c:v>1824</c:v>
                </c:pt>
                <c:pt idx="13">
                  <c:v>1833.5</c:v>
                </c:pt>
                <c:pt idx="14">
                  <c:v>1843</c:v>
                </c:pt>
                <c:pt idx="15">
                  <c:v>1852.5</c:v>
                </c:pt>
                <c:pt idx="16">
                  <c:v>1862</c:v>
                </c:pt>
                <c:pt idx="17">
                  <c:v>1871.5</c:v>
                </c:pt>
                <c:pt idx="18">
                  <c:v>1881</c:v>
                </c:pt>
                <c:pt idx="19">
                  <c:v>1890.5</c:v>
                </c:pt>
                <c:pt idx="20" formatCode="General">
                  <c:v>1900</c:v>
                </c:pt>
                <c:pt idx="21">
                  <c:v>1909.4999999999998</c:v>
                </c:pt>
                <c:pt idx="22">
                  <c:v>1919</c:v>
                </c:pt>
                <c:pt idx="23">
                  <c:v>1928.4999999999998</c:v>
                </c:pt>
                <c:pt idx="24">
                  <c:v>1938</c:v>
                </c:pt>
                <c:pt idx="25">
                  <c:v>1947.4999999999998</c:v>
                </c:pt>
                <c:pt idx="26">
                  <c:v>1957</c:v>
                </c:pt>
                <c:pt idx="27">
                  <c:v>1966.4999999999998</c:v>
                </c:pt>
                <c:pt idx="28">
                  <c:v>1976</c:v>
                </c:pt>
                <c:pt idx="29">
                  <c:v>1985.4999999999998</c:v>
                </c:pt>
                <c:pt idx="30">
                  <c:v>1995</c:v>
                </c:pt>
                <c:pt idx="31">
                  <c:v>2004.4999999999998</c:v>
                </c:pt>
                <c:pt idx="32">
                  <c:v>2014</c:v>
                </c:pt>
                <c:pt idx="33">
                  <c:v>2023.5</c:v>
                </c:pt>
                <c:pt idx="34">
                  <c:v>2033.0000000000002</c:v>
                </c:pt>
                <c:pt idx="35">
                  <c:v>2042.5</c:v>
                </c:pt>
                <c:pt idx="36">
                  <c:v>2052</c:v>
                </c:pt>
                <c:pt idx="37">
                  <c:v>2061.5</c:v>
                </c:pt>
                <c:pt idx="38">
                  <c:v>2071</c:v>
                </c:pt>
                <c:pt idx="39">
                  <c:v>2080.5</c:v>
                </c:pt>
                <c:pt idx="40">
                  <c:v>2090</c:v>
                </c:pt>
              </c:numCache>
            </c:numRef>
          </c:cat>
          <c:val>
            <c:numRef>
              <c:f>'Option Pricer'!$B$270:$AP$270</c:f>
              <c:numCache>
                <c:formatCode>0.00</c:formatCode>
                <c:ptCount val="41"/>
                <c:pt idx="0">
                  <c:v>1.8016693012743928E-2</c:v>
                </c:pt>
                <c:pt idx="1">
                  <c:v>3.3406478746612019E-2</c:v>
                </c:pt>
                <c:pt idx="2">
                  <c:v>5.9732622750140164E-2</c:v>
                </c:pt>
                <c:pt idx="3">
                  <c:v>0.10305492030077724</c:v>
                </c:pt>
                <c:pt idx="4">
                  <c:v>0.17165173315371782</c:v>
                </c:pt>
                <c:pt idx="5">
                  <c:v>0.27617933865697397</c:v>
                </c:pt>
                <c:pt idx="6">
                  <c:v>0.42947136547863085</c:v>
                </c:pt>
                <c:pt idx="7">
                  <c:v>0.64581656425818557</c:v>
                </c:pt>
                <c:pt idx="8">
                  <c:v>0.93960106526783593</c:v>
                </c:pt>
                <c:pt idx="9">
                  <c:v>1.3233057761984242</c:v>
                </c:pt>
                <c:pt idx="10">
                  <c:v>1.8050035451128013</c:v>
                </c:pt>
                <c:pt idx="11">
                  <c:v>2.3856769493663732</c:v>
                </c:pt>
                <c:pt idx="12">
                  <c:v>3.0568310612543783</c:v>
                </c:pt>
                <c:pt idx="13">
                  <c:v>3.7989536257173673</c:v>
                </c:pt>
                <c:pt idx="14">
                  <c:v>4.5813337659777389</c:v>
                </c:pt>
                <c:pt idx="15">
                  <c:v>5.3635717848205244</c:v>
                </c:pt>
                <c:pt idx="16">
                  <c:v>6.0988171749544922</c:v>
                </c:pt>
                <c:pt idx="17">
                  <c:v>6.7384186362986105</c:v>
                </c:pt>
                <c:pt idx="18">
                  <c:v>7.2373434694482501</c:v>
                </c:pt>
                <c:pt idx="19">
                  <c:v>7.5595110088241251</c:v>
                </c:pt>
                <c:pt idx="20">
                  <c:v>7.6821480338753805</c:v>
                </c:pt>
                <c:pt idx="21">
                  <c:v>7.5984306792342391</c:v>
                </c:pt>
                <c:pt idx="22">
                  <c:v>7.3179930722281217</c:v>
                </c:pt>
                <c:pt idx="23">
                  <c:v>6.8652817737867622</c:v>
                </c:pt>
                <c:pt idx="24">
                  <c:v>6.2761218549936997</c:v>
                </c:pt>
                <c:pt idx="25">
                  <c:v>5.5931481004317485</c:v>
                </c:pt>
                <c:pt idx="26">
                  <c:v>4.8608877820926644</c:v>
                </c:pt>
                <c:pt idx="27">
                  <c:v>4.1212473448570393</c:v>
                </c:pt>
                <c:pt idx="28">
                  <c:v>3.4099831766095443</c:v>
                </c:pt>
                <c:pt idx="29">
                  <c:v>2.7544834201881612</c:v>
                </c:pt>
                <c:pt idx="30">
                  <c:v>2.1729195951418636</c:v>
                </c:pt>
                <c:pt idx="31">
                  <c:v>1.6746007108955296</c:v>
                </c:pt>
                <c:pt idx="32">
                  <c:v>1.261214555092564</c:v>
                </c:pt>
                <c:pt idx="33">
                  <c:v>0.9285818708067024</c:v>
                </c:pt>
                <c:pt idx="34">
                  <c:v>0.66856849665916007</c:v>
                </c:pt>
                <c:pt idx="35">
                  <c:v>0.47087391432645098</c:v>
                </c:pt>
                <c:pt idx="36">
                  <c:v>0.32451332232939822</c:v>
                </c:pt>
                <c:pt idx="37">
                  <c:v>0.21890891167724946</c:v>
                </c:pt>
                <c:pt idx="38">
                  <c:v>0.14458689372209074</c:v>
                </c:pt>
                <c:pt idx="39">
                  <c:v>9.3531591203241629E-2</c:v>
                </c:pt>
                <c:pt idx="40">
                  <c:v>5.9275985358369511E-2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3ED-4728-AC9C-809FB666A0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9314616"/>
        <c:axId val="1"/>
      </c:lineChart>
      <c:catAx>
        <c:axId val="709314616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low"/>
        <c:txPr>
          <a:bodyPr rot="-54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Vega  ( bps )</a:t>
                </a:r>
              </a:p>
            </c:rich>
          </c:tx>
          <c:overlay val="0"/>
        </c:title>
        <c:numFmt formatCode="0.00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09314616"/>
        <c:crosses val="autoZero"/>
        <c:crossBetween val="between"/>
      </c:valAx>
    </c:plotArea>
    <c:legend>
      <c:legendPos val="r"/>
      <c:layout>
        <c:manualLayout>
          <c:xMode val="edge"/>
          <c:yMode val="edge"/>
          <c:wMode val="edge"/>
          <c:hMode val="edge"/>
          <c:x val="0.68067259974856087"/>
          <c:y val="1.2474012474012475E-2"/>
          <c:w val="0.9884458192725909"/>
          <c:h val="0.12266134092905745"/>
        </c:manualLayout>
      </c:layout>
      <c:overlay val="0"/>
      <c:spPr>
        <a:ln>
          <a:solidFill>
            <a:schemeClr val="bg1">
              <a:lumMod val="50000"/>
            </a:schemeClr>
          </a:solidFill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fr-FR"/>
              <a:t>Portfolio Gamma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01252074415586"/>
          <c:y val="0.14348698740023225"/>
          <c:w val="0.86269105425843984"/>
          <c:h val="0.72088634700713561"/>
        </c:manualLayout>
      </c:layout>
      <c:lineChart>
        <c:grouping val="standard"/>
        <c:varyColors val="0"/>
        <c:ser>
          <c:idx val="0"/>
          <c:order val="0"/>
          <c:tx>
            <c:v>Instantaneous Gamma</c:v>
          </c:tx>
          <c:spPr>
            <a:ln w="47625"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cat>
            <c:numRef>
              <c:f>'Option Pricer'!$B$206:$AP$206</c:f>
              <c:numCache>
                <c:formatCode>0.00</c:formatCode>
                <c:ptCount val="41"/>
                <c:pt idx="0">
                  <c:v>1710</c:v>
                </c:pt>
                <c:pt idx="1">
                  <c:v>1719.5</c:v>
                </c:pt>
                <c:pt idx="2">
                  <c:v>1729</c:v>
                </c:pt>
                <c:pt idx="3">
                  <c:v>1738.5</c:v>
                </c:pt>
                <c:pt idx="4">
                  <c:v>1748</c:v>
                </c:pt>
                <c:pt idx="5">
                  <c:v>1757.5</c:v>
                </c:pt>
                <c:pt idx="6">
                  <c:v>1766.9999999999998</c:v>
                </c:pt>
                <c:pt idx="7">
                  <c:v>1776.5</c:v>
                </c:pt>
                <c:pt idx="8">
                  <c:v>1786</c:v>
                </c:pt>
                <c:pt idx="9">
                  <c:v>1795.5</c:v>
                </c:pt>
                <c:pt idx="10">
                  <c:v>1805</c:v>
                </c:pt>
                <c:pt idx="11">
                  <c:v>1814.5</c:v>
                </c:pt>
                <c:pt idx="12">
                  <c:v>1824</c:v>
                </c:pt>
                <c:pt idx="13">
                  <c:v>1833.5</c:v>
                </c:pt>
                <c:pt idx="14">
                  <c:v>1843</c:v>
                </c:pt>
                <c:pt idx="15">
                  <c:v>1852.5</c:v>
                </c:pt>
                <c:pt idx="16">
                  <c:v>1862</c:v>
                </c:pt>
                <c:pt idx="17">
                  <c:v>1871.5</c:v>
                </c:pt>
                <c:pt idx="18">
                  <c:v>1881</c:v>
                </c:pt>
                <c:pt idx="19">
                  <c:v>1890.5</c:v>
                </c:pt>
                <c:pt idx="20" formatCode="General">
                  <c:v>1900</c:v>
                </c:pt>
                <c:pt idx="21">
                  <c:v>1909.4999999999998</c:v>
                </c:pt>
                <c:pt idx="22">
                  <c:v>1919</c:v>
                </c:pt>
                <c:pt idx="23">
                  <c:v>1928.4999999999998</c:v>
                </c:pt>
                <c:pt idx="24">
                  <c:v>1938</c:v>
                </c:pt>
                <c:pt idx="25">
                  <c:v>1947.4999999999998</c:v>
                </c:pt>
                <c:pt idx="26">
                  <c:v>1957</c:v>
                </c:pt>
                <c:pt idx="27">
                  <c:v>1966.4999999999998</c:v>
                </c:pt>
                <c:pt idx="28">
                  <c:v>1976</c:v>
                </c:pt>
                <c:pt idx="29">
                  <c:v>1985.4999999999998</c:v>
                </c:pt>
                <c:pt idx="30">
                  <c:v>1995</c:v>
                </c:pt>
                <c:pt idx="31">
                  <c:v>2004.4999999999998</c:v>
                </c:pt>
                <c:pt idx="32">
                  <c:v>2014</c:v>
                </c:pt>
                <c:pt idx="33">
                  <c:v>2023.5</c:v>
                </c:pt>
                <c:pt idx="34">
                  <c:v>2033.0000000000002</c:v>
                </c:pt>
                <c:pt idx="35">
                  <c:v>2042.5</c:v>
                </c:pt>
                <c:pt idx="36">
                  <c:v>2052</c:v>
                </c:pt>
                <c:pt idx="37">
                  <c:v>2061.5</c:v>
                </c:pt>
                <c:pt idx="38">
                  <c:v>2071</c:v>
                </c:pt>
                <c:pt idx="39">
                  <c:v>2080.5</c:v>
                </c:pt>
                <c:pt idx="40">
                  <c:v>2090</c:v>
                </c:pt>
              </c:numCache>
            </c:numRef>
          </c:cat>
          <c:val>
            <c:numRef>
              <c:f>'Option Pricer'!$B$280:$AP$280</c:f>
              <c:numCache>
                <c:formatCode>0.00%</c:formatCode>
                <c:ptCount val="41"/>
                <c:pt idx="0">
                  <c:v>5.1309718909152598E-3</c:v>
                </c:pt>
                <c:pt idx="1">
                  <c:v>6.9193743033178837E-3</c:v>
                </c:pt>
                <c:pt idx="2">
                  <c:v>9.1636784849927679E-3</c:v>
                </c:pt>
                <c:pt idx="3">
                  <c:v>1.1921583333913488E-2</c:v>
                </c:pt>
                <c:pt idx="4">
                  <c:v>1.523989189107192E-2</c:v>
                </c:pt>
                <c:pt idx="5">
                  <c:v>1.9148468646444771E-2</c:v>
                </c:pt>
                <c:pt idx="6">
                  <c:v>2.365420924202925E-2</c:v>
                </c:pt>
                <c:pt idx="7">
                  <c:v>2.8735632349265881E-2</c:v>
                </c:pt>
                <c:pt idx="8">
                  <c:v>3.4338750963377573E-2</c:v>
                </c:pt>
                <c:pt idx="9">
                  <c:v>4.037485046482598E-2</c:v>
                </c:pt>
                <c:pt idx="10">
                  <c:v>4.6720685689137488E-2</c:v>
                </c:pt>
                <c:pt idx="11">
                  <c:v>5.3221413480747291E-2</c:v>
                </c:pt>
                <c:pt idx="12">
                  <c:v>5.9696318481692184E-2</c:v>
                </c:pt>
                <c:pt idx="13">
                  <c:v>6.5947097418037129E-2</c:v>
                </c:pt>
                <c:pt idx="14">
                  <c:v>7.1768177714198716E-2</c:v>
                </c:pt>
                <c:pt idx="15">
                  <c:v>7.69582988145949E-2</c:v>
                </c:pt>
                <c:pt idx="16">
                  <c:v>8.1332413977344878E-2</c:v>
                </c:pt>
                <c:pt idx="17">
                  <c:v>8.4732901602278352E-2</c:v>
                </c:pt>
                <c:pt idx="18">
                  <c:v>8.7039119507457047E-2</c:v>
                </c:pt>
                <c:pt idx="19">
                  <c:v>8.8174488349729685E-2</c:v>
                </c:pt>
                <c:pt idx="20">
                  <c:v>8.8110532008523659E-2</c:v>
                </c:pt>
                <c:pt idx="21">
                  <c:v>8.6867601914141099E-2</c:v>
                </c:pt>
                <c:pt idx="22">
                  <c:v>8.4512331011762101E-2</c:v>
                </c:pt>
                <c:pt idx="23">
                  <c:v>8.1152162492622387E-2</c:v>
                </c:pt>
                <c:pt idx="24">
                  <c:v>7.6927544587329574E-2</c:v>
                </c:pt>
                <c:pt idx="25">
                  <c:v>7.2002550888557892E-2</c:v>
                </c:pt>
                <c:pt idx="26">
                  <c:v>6.6554763110006548E-2</c:v>
                </c:pt>
                <c:pt idx="27">
                  <c:v>6.0765239741347989E-2</c:v>
                </c:pt>
                <c:pt idx="28">
                  <c:v>5.4809300830280898E-2</c:v>
                </c:pt>
                <c:pt idx="29">
                  <c:v>4.8848705652570698E-2</c:v>
                </c:pt>
                <c:pt idx="30">
                  <c:v>4.3025610610629796E-2</c:v>
                </c:pt>
                <c:pt idx="31">
                  <c:v>3.7458494527637991E-2</c:v>
                </c:pt>
                <c:pt idx="32">
                  <c:v>3.2240050283892388E-2</c:v>
                </c:pt>
                <c:pt idx="33">
                  <c:v>2.7436883188559587E-2</c:v>
                </c:pt>
                <c:pt idx="34">
                  <c:v>2.3090738925295427E-2</c:v>
                </c:pt>
                <c:pt idx="35">
                  <c:v>1.9220912034930728E-2</c:v>
                </c:pt>
                <c:pt idx="36">
                  <c:v>1.5827458406804606E-2</c:v>
                </c:pt>
                <c:pt idx="37">
                  <c:v>1.2894846205619927E-2</c:v>
                </c:pt>
                <c:pt idx="38">
                  <c:v>1.0395720152997064E-2</c:v>
                </c:pt>
                <c:pt idx="39">
                  <c:v>8.2945139235829097E-3</c:v>
                </c:pt>
                <c:pt idx="40">
                  <c:v>6.5507146161204568E-3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76-4F41-99EE-6581DD0BA2F5}"/>
            </c:ext>
          </c:extLst>
        </c:ser>
        <c:ser>
          <c:idx val="1"/>
          <c:order val="1"/>
          <c:tx>
            <c:v>Gamma in x days with y% vol move</c:v>
          </c:tx>
          <c:spPr>
            <a:ln w="34925">
              <a:solidFill>
                <a:schemeClr val="bg1">
                  <a:lumMod val="50000"/>
                </a:schemeClr>
              </a:solidFill>
              <a:prstDash val="sysDash"/>
            </a:ln>
          </c:spPr>
          <c:marker>
            <c:symbol val="none"/>
          </c:marker>
          <c:cat>
            <c:numRef>
              <c:f>'Option Pricer'!$B$206:$AP$206</c:f>
              <c:numCache>
                <c:formatCode>0.00</c:formatCode>
                <c:ptCount val="41"/>
                <c:pt idx="0">
                  <c:v>1710</c:v>
                </c:pt>
                <c:pt idx="1">
                  <c:v>1719.5</c:v>
                </c:pt>
                <c:pt idx="2">
                  <c:v>1729</c:v>
                </c:pt>
                <c:pt idx="3">
                  <c:v>1738.5</c:v>
                </c:pt>
                <c:pt idx="4">
                  <c:v>1748</c:v>
                </c:pt>
                <c:pt idx="5">
                  <c:v>1757.5</c:v>
                </c:pt>
                <c:pt idx="6">
                  <c:v>1766.9999999999998</c:v>
                </c:pt>
                <c:pt idx="7">
                  <c:v>1776.5</c:v>
                </c:pt>
                <c:pt idx="8">
                  <c:v>1786</c:v>
                </c:pt>
                <c:pt idx="9">
                  <c:v>1795.5</c:v>
                </c:pt>
                <c:pt idx="10">
                  <c:v>1805</c:v>
                </c:pt>
                <c:pt idx="11">
                  <c:v>1814.5</c:v>
                </c:pt>
                <c:pt idx="12">
                  <c:v>1824</c:v>
                </c:pt>
                <c:pt idx="13">
                  <c:v>1833.5</c:v>
                </c:pt>
                <c:pt idx="14">
                  <c:v>1843</c:v>
                </c:pt>
                <c:pt idx="15">
                  <c:v>1852.5</c:v>
                </c:pt>
                <c:pt idx="16">
                  <c:v>1862</c:v>
                </c:pt>
                <c:pt idx="17">
                  <c:v>1871.5</c:v>
                </c:pt>
                <c:pt idx="18">
                  <c:v>1881</c:v>
                </c:pt>
                <c:pt idx="19">
                  <c:v>1890.5</c:v>
                </c:pt>
                <c:pt idx="20" formatCode="General">
                  <c:v>1900</c:v>
                </c:pt>
                <c:pt idx="21">
                  <c:v>1909.4999999999998</c:v>
                </c:pt>
                <c:pt idx="22">
                  <c:v>1919</c:v>
                </c:pt>
                <c:pt idx="23">
                  <c:v>1928.4999999999998</c:v>
                </c:pt>
                <c:pt idx="24">
                  <c:v>1938</c:v>
                </c:pt>
                <c:pt idx="25">
                  <c:v>1947.4999999999998</c:v>
                </c:pt>
                <c:pt idx="26">
                  <c:v>1957</c:v>
                </c:pt>
                <c:pt idx="27">
                  <c:v>1966.4999999999998</c:v>
                </c:pt>
                <c:pt idx="28">
                  <c:v>1976</c:v>
                </c:pt>
                <c:pt idx="29">
                  <c:v>1985.4999999999998</c:v>
                </c:pt>
                <c:pt idx="30">
                  <c:v>1995</c:v>
                </c:pt>
                <c:pt idx="31">
                  <c:v>2004.4999999999998</c:v>
                </c:pt>
                <c:pt idx="32">
                  <c:v>2014</c:v>
                </c:pt>
                <c:pt idx="33">
                  <c:v>2023.5</c:v>
                </c:pt>
                <c:pt idx="34">
                  <c:v>2033.0000000000002</c:v>
                </c:pt>
                <c:pt idx="35">
                  <c:v>2042.5</c:v>
                </c:pt>
                <c:pt idx="36">
                  <c:v>2052</c:v>
                </c:pt>
                <c:pt idx="37">
                  <c:v>2061.5</c:v>
                </c:pt>
                <c:pt idx="38">
                  <c:v>2071</c:v>
                </c:pt>
                <c:pt idx="39">
                  <c:v>2080.5</c:v>
                </c:pt>
                <c:pt idx="40">
                  <c:v>2090</c:v>
                </c:pt>
              </c:numCache>
            </c:numRef>
          </c:cat>
          <c:val>
            <c:numRef>
              <c:f>'Option Pricer'!$B$287:$AP$287</c:f>
              <c:numCache>
                <c:formatCode>0.00%</c:formatCode>
                <c:ptCount val="41"/>
                <c:pt idx="0">
                  <c:v>3.6082814538554355E-4</c:v>
                </c:pt>
                <c:pt idx="1">
                  <c:v>6.6167372411035554E-4</c:v>
                </c:pt>
                <c:pt idx="2">
                  <c:v>1.1701435577453696E-3</c:v>
                </c:pt>
                <c:pt idx="3">
                  <c:v>1.9968106759982178E-3</c:v>
                </c:pt>
                <c:pt idx="4">
                  <c:v>3.2899014178275044E-3</c:v>
                </c:pt>
                <c:pt idx="5">
                  <c:v>5.2362221824745646E-3</c:v>
                </c:pt>
                <c:pt idx="6">
                  <c:v>8.0552432985033749E-3</c:v>
                </c:pt>
                <c:pt idx="7">
                  <c:v>1.1983848345893042E-2</c:v>
                </c:pt>
                <c:pt idx="8">
                  <c:v>1.7250359077650025E-2</c:v>
                </c:pt>
                <c:pt idx="9">
                  <c:v>2.403847638021455E-2</c:v>
                </c:pt>
                <c:pt idx="10">
                  <c:v>3.244450816700141E-2</c:v>
                </c:pt>
                <c:pt idx="11">
                  <c:v>4.2434123651275447E-2</c:v>
                </c:pt>
                <c:pt idx="12">
                  <c:v>5.3807066809309786E-2</c:v>
                </c:pt>
                <c:pt idx="13">
                  <c:v>6.6178925531750074E-2</c:v>
                </c:pt>
                <c:pt idx="14">
                  <c:v>7.8987580429228502E-2</c:v>
                </c:pt>
                <c:pt idx="15">
                  <c:v>9.1528261299881272E-2</c:v>
                </c:pt>
                <c:pt idx="16">
                  <c:v>0.10301579290380813</c:v>
                </c:pt>
                <c:pt idx="17">
                  <c:v>0.11266677785503332</c:v>
                </c:pt>
                <c:pt idx="18">
                  <c:v>0.11978960724409579</c:v>
                </c:pt>
                <c:pt idx="19">
                  <c:v>0.12386764725787758</c:v>
                </c:pt>
                <c:pt idx="20">
                  <c:v>0.12462151254953392</c:v>
                </c:pt>
                <c:pt idx="21">
                  <c:v>0.12203998021701323</c:v>
                </c:pt>
                <c:pt idx="22">
                  <c:v>0.11637497288341073</c:v>
                </c:pt>
                <c:pt idx="23">
                  <c:v>0.10810272178654258</c:v>
                </c:pt>
                <c:pt idx="24">
                  <c:v>9.7859134395860539E-2</c:v>
                </c:pt>
                <c:pt idx="25">
                  <c:v>8.6361252975137595E-2</c:v>
                </c:pt>
                <c:pt idx="26">
                  <c:v>7.4327836552353768E-2</c:v>
                </c:pt>
                <c:pt idx="27">
                  <c:v>6.241059559010869E-2</c:v>
                </c:pt>
                <c:pt idx="28">
                  <c:v>5.1144142811574783E-2</c:v>
                </c:pt>
                <c:pt idx="29">
                  <c:v>4.0918332592861033E-2</c:v>
                </c:pt>
                <c:pt idx="30">
                  <c:v>3.1972412284274332E-2</c:v>
                </c:pt>
                <c:pt idx="31">
                  <c:v>2.4407129099201359E-2</c:v>
                </c:pt>
                <c:pt idx="32">
                  <c:v>1.8209062640274751E-2</c:v>
                </c:pt>
                <c:pt idx="33">
                  <c:v>1.3281016958498686E-2</c:v>
                </c:pt>
                <c:pt idx="34">
                  <c:v>9.4730253503204874E-3</c:v>
                </c:pt>
                <c:pt idx="35">
                  <c:v>6.6099481032785854E-3</c:v>
                </c:pt>
                <c:pt idx="36">
                  <c:v>4.5133120961069334E-3</c:v>
                </c:pt>
                <c:pt idx="37">
                  <c:v>3.0165762803654001E-3</c:v>
                </c:pt>
                <c:pt idx="38">
                  <c:v>1.9741778641365055E-3</c:v>
                </c:pt>
                <c:pt idx="39">
                  <c:v>1.265436715078527E-3</c:v>
                </c:pt>
                <c:pt idx="40">
                  <c:v>7.9470099745839753E-4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E76-4F41-99EE-6581DD0BA2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09477632"/>
        <c:axId val="1"/>
      </c:lineChart>
      <c:catAx>
        <c:axId val="7094776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low"/>
        <c:txPr>
          <a:bodyPr rot="-270000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noMultiLvlLbl val="0"/>
      </c:catAx>
      <c:valAx>
        <c:axId val="1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fr-FR"/>
                  <a:t>Gamma  (%  AUM)</a:t>
                </a:r>
              </a:p>
            </c:rich>
          </c:tx>
          <c:overlay val="0"/>
        </c:title>
        <c:numFmt formatCode="0.00%" sourceLinked="1"/>
        <c:majorTickMark val="none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fr-FR"/>
          </a:p>
        </c:txPr>
        <c:crossAx val="709477632"/>
        <c:crosses val="autoZero"/>
        <c:crossBetween val="between"/>
      </c:valAx>
    </c:plotArea>
    <c:legend>
      <c:legendPos val="r"/>
      <c:layout>
        <c:manualLayout>
          <c:xMode val="edge"/>
          <c:yMode val="edge"/>
          <c:wMode val="edge"/>
          <c:hMode val="edge"/>
          <c:x val="0.6781740701120601"/>
          <c:y val="1.2474012474012475E-2"/>
          <c:w val="0.98552385294822564"/>
          <c:h val="0.12266134092905745"/>
        </c:manualLayout>
      </c:layout>
      <c:overlay val="0"/>
      <c:spPr>
        <a:ln>
          <a:solidFill>
            <a:schemeClr val="bg1">
              <a:lumMod val="50000"/>
            </a:schemeClr>
          </a:solidFill>
        </a:ln>
      </c:spPr>
      <c:txPr>
        <a:bodyPr/>
        <a:lstStyle/>
        <a:p>
          <a:pPr>
            <a:defRPr sz="110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fr-FR"/>
        </a:p>
      </c:txPr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fr-F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0</xdr:row>
      <xdr:rowOff>142875</xdr:rowOff>
    </xdr:from>
    <xdr:to>
      <xdr:col>21</xdr:col>
      <xdr:colOff>523875</xdr:colOff>
      <xdr:row>32</xdr:row>
      <xdr:rowOff>0</xdr:rowOff>
    </xdr:to>
    <xdr:graphicFrame macro="">
      <xdr:nvGraphicFramePr>
        <xdr:cNvPr id="1268" name="Graphique 1">
          <a:extLst>
            <a:ext uri="{FF2B5EF4-FFF2-40B4-BE49-F238E27FC236}">
              <a16:creationId xmlns:a16="http://schemas.microsoft.com/office/drawing/2014/main" id="{4223C709-E169-E4F8-F989-03CAC9DFB72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104775</xdr:colOff>
      <xdr:row>32</xdr:row>
      <xdr:rowOff>47625</xdr:rowOff>
    </xdr:from>
    <xdr:to>
      <xdr:col>10</xdr:col>
      <xdr:colOff>304800</xdr:colOff>
      <xdr:row>57</xdr:row>
      <xdr:rowOff>0</xdr:rowOff>
    </xdr:to>
    <xdr:graphicFrame macro="">
      <xdr:nvGraphicFramePr>
        <xdr:cNvPr id="1269" name="Graphique 1">
          <a:extLst>
            <a:ext uri="{FF2B5EF4-FFF2-40B4-BE49-F238E27FC236}">
              <a16:creationId xmlns:a16="http://schemas.microsoft.com/office/drawing/2014/main" id="{ABF97B9B-FEC2-CA1C-19F1-FD83519FCB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409575</xdr:colOff>
      <xdr:row>32</xdr:row>
      <xdr:rowOff>38100</xdr:rowOff>
    </xdr:from>
    <xdr:to>
      <xdr:col>21</xdr:col>
      <xdr:colOff>571500</xdr:colOff>
      <xdr:row>56</xdr:row>
      <xdr:rowOff>180975</xdr:rowOff>
    </xdr:to>
    <xdr:graphicFrame macro="">
      <xdr:nvGraphicFramePr>
        <xdr:cNvPr id="1270" name="Graphique 1">
          <a:extLst>
            <a:ext uri="{FF2B5EF4-FFF2-40B4-BE49-F238E27FC236}">
              <a16:creationId xmlns:a16="http://schemas.microsoft.com/office/drawing/2014/main" id="{231DFF24-9F99-59A3-E9E3-0AE567A71D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133350</xdr:colOff>
      <xdr:row>58</xdr:row>
      <xdr:rowOff>0</xdr:rowOff>
    </xdr:from>
    <xdr:to>
      <xdr:col>10</xdr:col>
      <xdr:colOff>342900</xdr:colOff>
      <xdr:row>82</xdr:row>
      <xdr:rowOff>9525</xdr:rowOff>
    </xdr:to>
    <xdr:graphicFrame macro="">
      <xdr:nvGraphicFramePr>
        <xdr:cNvPr id="1271" name="Graphique 1">
          <a:extLst>
            <a:ext uri="{FF2B5EF4-FFF2-40B4-BE49-F238E27FC236}">
              <a16:creationId xmlns:a16="http://schemas.microsoft.com/office/drawing/2014/main" id="{A8CC8644-AE79-D140-AE89-0F2F1AF2445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419100</xdr:colOff>
      <xdr:row>58</xdr:row>
      <xdr:rowOff>38100</xdr:rowOff>
    </xdr:from>
    <xdr:to>
      <xdr:col>21</xdr:col>
      <xdr:colOff>590550</xdr:colOff>
      <xdr:row>82</xdr:row>
      <xdr:rowOff>47625</xdr:rowOff>
    </xdr:to>
    <xdr:graphicFrame macro="">
      <xdr:nvGraphicFramePr>
        <xdr:cNvPr id="1272" name="Graphique 1">
          <a:extLst>
            <a:ext uri="{FF2B5EF4-FFF2-40B4-BE49-F238E27FC236}">
              <a16:creationId xmlns:a16="http://schemas.microsoft.com/office/drawing/2014/main" id="{DD345974-CD90-866B-A60E-42A058B340F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Option%20Pricing4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SM"/>
      <sheetName val="P&amp;L"/>
      <sheetName val="Parametre"/>
      <sheetName val="Graphs"/>
      <sheetName val="Parametres"/>
      <sheetName val="P&amp;L Greeks"/>
      <sheetName val="Butterfly"/>
    </sheetNames>
    <sheetDataSet>
      <sheetData sheetId="0">
        <row r="3">
          <cell r="H3" t="str">
            <v>call</v>
          </cell>
        </row>
        <row r="4">
          <cell r="H4" t="str">
            <v>put</v>
          </cell>
        </row>
      </sheetData>
      <sheetData sheetId="1"/>
      <sheetData sheetId="2"/>
      <sheetData sheetId="3"/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287"/>
  <sheetViews>
    <sheetView tabSelected="1" zoomScale="80" zoomScaleNormal="80" workbookViewId="0"/>
  </sheetViews>
  <sheetFormatPr defaultRowHeight="15" x14ac:dyDescent="0.25"/>
  <cols>
    <col min="1" max="1" width="21.28515625" customWidth="1"/>
    <col min="2" max="2" width="20" customWidth="1"/>
    <col min="3" max="7" width="15.7109375" style="6" customWidth="1"/>
    <col min="8" max="26" width="11.42578125" style="32" customWidth="1"/>
    <col min="27" max="256" width="11.42578125" customWidth="1"/>
  </cols>
  <sheetData>
    <row r="1" spans="1:28" x14ac:dyDescent="0.25">
      <c r="A1" s="16" t="s">
        <v>11</v>
      </c>
      <c r="B1" s="43"/>
      <c r="C1" s="40"/>
      <c r="D1" s="40"/>
      <c r="E1" s="40"/>
      <c r="F1" s="40"/>
      <c r="G1" s="40"/>
      <c r="AB1" t="s">
        <v>19</v>
      </c>
    </row>
    <row r="2" spans="1:28" x14ac:dyDescent="0.25">
      <c r="A2" s="17">
        <v>10000000</v>
      </c>
      <c r="B2" s="44"/>
      <c r="C2" s="40"/>
      <c r="D2" s="40"/>
      <c r="E2" s="40"/>
      <c r="F2" s="40"/>
      <c r="G2" s="40"/>
      <c r="AB2" t="s">
        <v>20</v>
      </c>
    </row>
    <row r="3" spans="1:28" s="32" customFormat="1" ht="6" customHeight="1" x14ac:dyDescent="0.25">
      <c r="C3" s="40"/>
      <c r="D3" s="40"/>
      <c r="E3" s="40"/>
      <c r="F3" s="40"/>
      <c r="G3" s="40"/>
    </row>
    <row r="4" spans="1:28" x14ac:dyDescent="0.25">
      <c r="A4" s="32"/>
      <c r="B4" s="32"/>
      <c r="C4" s="33" t="s">
        <v>2</v>
      </c>
      <c r="D4" s="34" t="s">
        <v>3</v>
      </c>
      <c r="E4" s="34" t="s">
        <v>4</v>
      </c>
      <c r="F4" s="34" t="s">
        <v>5</v>
      </c>
      <c r="G4" s="35" t="s">
        <v>31</v>
      </c>
    </row>
    <row r="5" spans="1:28" x14ac:dyDescent="0.25">
      <c r="A5" s="68" t="s">
        <v>7</v>
      </c>
      <c r="B5" s="36"/>
      <c r="C5" s="37">
        <v>500</v>
      </c>
      <c r="D5" s="37">
        <v>0</v>
      </c>
      <c r="E5" s="37">
        <v>0</v>
      </c>
      <c r="F5" s="37">
        <v>0</v>
      </c>
      <c r="G5" s="73">
        <v>0</v>
      </c>
    </row>
    <row r="6" spans="1:28" x14ac:dyDescent="0.25">
      <c r="A6" s="69" t="s">
        <v>22</v>
      </c>
      <c r="B6" s="38"/>
      <c r="C6" s="39">
        <v>10</v>
      </c>
      <c r="D6" s="39">
        <v>1</v>
      </c>
      <c r="E6" s="39">
        <v>1</v>
      </c>
      <c r="F6" s="39">
        <v>1</v>
      </c>
      <c r="G6" s="74">
        <v>1</v>
      </c>
    </row>
    <row r="7" spans="1:28" x14ac:dyDescent="0.25">
      <c r="A7" s="45"/>
      <c r="B7" s="32"/>
      <c r="C7" s="40"/>
      <c r="D7" s="40"/>
      <c r="E7" s="40"/>
      <c r="F7" s="40"/>
      <c r="G7" s="75"/>
    </row>
    <row r="8" spans="1:28" x14ac:dyDescent="0.25">
      <c r="A8" s="41" t="s">
        <v>1</v>
      </c>
      <c r="B8" s="42"/>
      <c r="C8" s="39"/>
      <c r="D8" s="40"/>
      <c r="E8" s="40"/>
      <c r="F8" s="40"/>
      <c r="G8" s="75"/>
    </row>
    <row r="9" spans="1:28" x14ac:dyDescent="0.25">
      <c r="A9" s="1" t="s">
        <v>18</v>
      </c>
      <c r="B9" s="11"/>
      <c r="C9" s="2" t="s">
        <v>19</v>
      </c>
      <c r="D9" s="2" t="s">
        <v>20</v>
      </c>
      <c r="E9" s="2" t="s">
        <v>19</v>
      </c>
      <c r="F9" s="2" t="s">
        <v>19</v>
      </c>
      <c r="G9" s="76"/>
    </row>
    <row r="10" spans="1:28" x14ac:dyDescent="0.25">
      <c r="A10" s="3" t="s">
        <v>8</v>
      </c>
      <c r="B10" s="12"/>
      <c r="C10" s="8">
        <v>1900</v>
      </c>
      <c r="D10" s="4">
        <f>C10</f>
        <v>1900</v>
      </c>
      <c r="E10" s="4">
        <f>C10</f>
        <v>1900</v>
      </c>
      <c r="F10" s="4">
        <f>C10</f>
        <v>1900</v>
      </c>
      <c r="G10" s="77"/>
    </row>
    <row r="11" spans="1:28" x14ac:dyDescent="0.25">
      <c r="A11" s="3" t="s">
        <v>9</v>
      </c>
      <c r="B11" s="12"/>
      <c r="C11" s="4">
        <v>1900</v>
      </c>
      <c r="D11" s="4">
        <v>1900</v>
      </c>
      <c r="E11" s="4">
        <v>1920</v>
      </c>
      <c r="F11" s="4">
        <v>1930</v>
      </c>
      <c r="G11" s="77"/>
    </row>
    <row r="12" spans="1:28" x14ac:dyDescent="0.25">
      <c r="A12" s="3" t="s">
        <v>16</v>
      </c>
      <c r="B12" s="12"/>
      <c r="C12" s="5">
        <v>0</v>
      </c>
      <c r="D12" s="5">
        <v>0</v>
      </c>
      <c r="E12" s="5">
        <v>0</v>
      </c>
      <c r="F12" s="5">
        <v>0</v>
      </c>
      <c r="G12" s="78"/>
    </row>
    <row r="13" spans="1:28" x14ac:dyDescent="0.25">
      <c r="A13" s="3" t="s">
        <v>47</v>
      </c>
      <c r="B13" s="12"/>
      <c r="C13" s="5">
        <v>0</v>
      </c>
      <c r="D13" s="5">
        <v>0</v>
      </c>
      <c r="E13" s="5">
        <v>0</v>
      </c>
      <c r="F13" s="5">
        <v>0</v>
      </c>
      <c r="G13" s="78"/>
    </row>
    <row r="14" spans="1:28" x14ac:dyDescent="0.25">
      <c r="A14" s="3" t="s">
        <v>10</v>
      </c>
      <c r="B14" s="12"/>
      <c r="C14" s="67">
        <v>30</v>
      </c>
      <c r="D14" s="67">
        <v>30</v>
      </c>
      <c r="E14" s="67">
        <v>30</v>
      </c>
      <c r="F14" s="67">
        <v>30</v>
      </c>
      <c r="G14" s="79"/>
    </row>
    <row r="15" spans="1:28" x14ac:dyDescent="0.25">
      <c r="A15" s="3" t="s">
        <v>17</v>
      </c>
      <c r="B15" s="12"/>
      <c r="C15" s="5">
        <v>0.15</v>
      </c>
      <c r="D15" s="5">
        <v>0.15</v>
      </c>
      <c r="E15" s="5">
        <v>0.14499999999999999</v>
      </c>
      <c r="F15" s="5">
        <v>0.14000000000000001</v>
      </c>
      <c r="G15" s="78"/>
    </row>
    <row r="16" spans="1:28" s="32" customFormat="1" x14ac:dyDescent="0.25">
      <c r="A16" s="45"/>
      <c r="B16" s="46"/>
      <c r="C16" s="47"/>
      <c r="D16" s="47"/>
      <c r="E16" s="47"/>
      <c r="F16" s="47"/>
      <c r="G16" s="80"/>
    </row>
    <row r="17" spans="1:7" x14ac:dyDescent="0.25">
      <c r="A17" s="14" t="s">
        <v>12</v>
      </c>
      <c r="B17" s="48"/>
      <c r="C17" s="51"/>
      <c r="D17" s="51"/>
      <c r="E17" s="51"/>
      <c r="F17" s="51"/>
      <c r="G17" s="81"/>
    </row>
    <row r="18" spans="1:7" x14ac:dyDescent="0.25">
      <c r="A18" s="15" t="s">
        <v>0</v>
      </c>
      <c r="B18" s="49"/>
      <c r="C18" s="9">
        <f>bs(C9,C10,C11,C12,C13,C14,C15)</f>
        <v>32.593849622400853</v>
      </c>
      <c r="D18" s="9">
        <f>bs(D9,D10,D11,D12,D13,D14,D15)</f>
        <v>32.593849622400853</v>
      </c>
      <c r="E18" s="9">
        <f>bs(E9,E10,E11,E12,E13,E14,E15)</f>
        <v>22.672791112086543</v>
      </c>
      <c r="F18" s="9">
        <f>bs(F9,F10,F11,F12,F13,F14,F15)</f>
        <v>17.967430235067582</v>
      </c>
      <c r="G18" s="82"/>
    </row>
    <row r="19" spans="1:7" x14ac:dyDescent="0.25">
      <c r="A19" s="70" t="s">
        <v>43</v>
      </c>
      <c r="B19" s="32"/>
      <c r="G19" s="83"/>
    </row>
    <row r="20" spans="1:7" x14ac:dyDescent="0.25">
      <c r="A20" s="71" t="s">
        <v>13</v>
      </c>
      <c r="B20" s="50"/>
      <c r="C20" s="26">
        <f>deltaG(C9,C10,C11,C12,C13,C14,C15)</f>
        <v>0.50857732884800022</v>
      </c>
      <c r="D20" s="26">
        <f>deltaG(D9,D10,D11,D12,D13,D14,D15)</f>
        <v>-0.49142267115199978</v>
      </c>
      <c r="E20" s="26">
        <f>deltaG(E9,E10,E11,E12,E13,E14,E15)</f>
        <v>0.40861497222836629</v>
      </c>
      <c r="F20" s="26">
        <f>deltaG(F9,F10,F11,F12,F13,F14,F15)</f>
        <v>0.35559806912223779</v>
      </c>
      <c r="G20" s="84">
        <v>1</v>
      </c>
    </row>
    <row r="21" spans="1:7" x14ac:dyDescent="0.25">
      <c r="A21" s="72" t="s">
        <v>42</v>
      </c>
      <c r="B21" s="46"/>
      <c r="C21" s="25">
        <f>gammaG(C9,C10,C11,C12,C13,C14,C15)</f>
        <v>4.8814699173697325E-3</v>
      </c>
      <c r="D21" s="25">
        <f>gammaG(D9,D10,D11,D12,D13,D14,D15)</f>
        <v>4.8814699173697325E-3</v>
      </c>
      <c r="E21" s="25">
        <f>gammaG(E9,E10,E11,E12,E13,E14,E15)</f>
        <v>4.91785945137364E-3</v>
      </c>
      <c r="F21" s="25">
        <f>gammaG(F9,F10,F11,F12,F13,F14,F15)</f>
        <v>4.8847975852721213E-3</v>
      </c>
      <c r="G21" s="85"/>
    </row>
    <row r="22" spans="1:7" x14ac:dyDescent="0.25">
      <c r="A22" s="72" t="s">
        <v>14</v>
      </c>
      <c r="B22" s="46"/>
      <c r="C22" s="10">
        <f>vega(C9,C10,C11,C12,C13,C14,C15)</f>
        <v>2.1725884604841452</v>
      </c>
      <c r="D22" s="10">
        <f>vega(D9,D10,D11,D12,D13,D14,D15)</f>
        <v>2.1725884604841452</v>
      </c>
      <c r="E22" s="10">
        <f>vega(E9,E10,E11,E12,E13,E14,E15)</f>
        <v>2.115824819031396</v>
      </c>
      <c r="F22" s="10">
        <f>vega(F9,F10,F11,F12,F13,F14,F15)</f>
        <v>2.0291315339149567</v>
      </c>
      <c r="G22" s="86"/>
    </row>
    <row r="23" spans="1:7" x14ac:dyDescent="0.25">
      <c r="A23" s="15" t="s">
        <v>15</v>
      </c>
      <c r="B23" s="49"/>
      <c r="C23" s="9">
        <f>theta(C9,C10,C11,C12,C13,C14,C15)/365</f>
        <v>-0.54314711512103631</v>
      </c>
      <c r="D23" s="9">
        <f>theta(D9,D10,D11,D12,D13,D14,D15)/365</f>
        <v>-0.54314711512103631</v>
      </c>
      <c r="E23" s="9">
        <f>theta(E9,E10,E11,E12,E13,E14,E15)/365</f>
        <v>-0.5113243312659207</v>
      </c>
      <c r="F23" s="9">
        <f>theta(F9,F10,F11,F12,F13,F14,F15)/365</f>
        <v>-0.47346402458015657</v>
      </c>
      <c r="G23" s="87"/>
    </row>
    <row r="24" spans="1:7" s="32" customFormat="1" ht="8.25" customHeight="1" x14ac:dyDescent="0.25">
      <c r="A24" s="45"/>
      <c r="C24" s="40"/>
      <c r="D24" s="40"/>
      <c r="E24" s="40"/>
      <c r="F24" s="40"/>
      <c r="G24" s="75"/>
    </row>
    <row r="25" spans="1:7" s="32" customFormat="1" ht="5.25" customHeight="1" x14ac:dyDescent="0.25">
      <c r="A25" s="45"/>
      <c r="C25" s="40"/>
      <c r="D25" s="40"/>
      <c r="E25" s="40"/>
      <c r="F25" s="40"/>
      <c r="G25" s="75"/>
    </row>
    <row r="26" spans="1:7" s="32" customFormat="1" ht="15" customHeight="1" x14ac:dyDescent="0.25">
      <c r="A26" s="88" t="s">
        <v>49</v>
      </c>
      <c r="B26" s="65">
        <f>SUM(C26:F26)</f>
        <v>162969.24811200428</v>
      </c>
      <c r="C26" s="66">
        <f>IF(C5&lt;&gt;0,C5*C6*C18,"")</f>
        <v>162969.24811200428</v>
      </c>
      <c r="D26" s="66" t="str">
        <f>IF(D5&lt;&gt;0,D5*D6*D18,"")</f>
        <v/>
      </c>
      <c r="E26" s="66" t="str">
        <f>IF(E5&lt;&gt;0,E5*E6*E18,"")</f>
        <v/>
      </c>
      <c r="F26" s="66" t="str">
        <f>IF(F5&lt;&gt;0,F5*F6*F18,"")</f>
        <v/>
      </c>
      <c r="G26" s="75"/>
    </row>
    <row r="27" spans="1:7" s="32" customFormat="1" ht="15" customHeight="1" x14ac:dyDescent="0.25">
      <c r="A27" s="88" t="s">
        <v>48</v>
      </c>
      <c r="B27" s="64">
        <f>SUM(C27:F27)</f>
        <v>1.6296924811200427E-2</v>
      </c>
      <c r="C27" s="63">
        <f>IF(C5&lt;&gt;0,C26/$A$2,"")</f>
        <v>1.6296924811200427E-2</v>
      </c>
      <c r="D27" s="63" t="str">
        <f>IF(D5&lt;&gt;0,D26/$A$2,"")</f>
        <v/>
      </c>
      <c r="E27" s="63" t="str">
        <f>IF(E5&lt;&gt;0,E26/$A$2,"")</f>
        <v/>
      </c>
      <c r="F27" s="63" t="str">
        <f>IF(F5&lt;&gt;0,F26/$A$2,"")</f>
        <v/>
      </c>
      <c r="G27" s="75"/>
    </row>
    <row r="28" spans="1:7" x14ac:dyDescent="0.25">
      <c r="A28" s="89" t="s">
        <v>21</v>
      </c>
      <c r="B28" s="13" t="s">
        <v>44</v>
      </c>
      <c r="C28" s="52"/>
      <c r="D28" s="52"/>
      <c r="E28" s="52"/>
      <c r="F28" s="52"/>
      <c r="G28" s="92"/>
    </row>
    <row r="29" spans="1:7" x14ac:dyDescent="0.25">
      <c r="A29" s="90" t="s">
        <v>13</v>
      </c>
      <c r="B29" s="27">
        <f>SUM(C29:G29)</f>
        <v>0.48314846240560022</v>
      </c>
      <c r="C29" s="53">
        <f>IF(C5&lt;&gt;0,C20*C5*C6*$C$10/$A$2,"")</f>
        <v>0.48314846240560022</v>
      </c>
      <c r="D29" s="53" t="str">
        <f>IF(D5&lt;&gt;0,D20*D5*D6*$C$10/$A$2,"")</f>
        <v/>
      </c>
      <c r="E29" s="53" t="str">
        <f>IF(E5&lt;&gt;0,E20*E5*E6*$C$10/$A$2,"")</f>
        <v/>
      </c>
      <c r="F29" s="53" t="str">
        <f>IF(F5&lt;&gt;0,F20*F5*F6*$C$10/$A$2,"")</f>
        <v/>
      </c>
      <c r="G29" s="93" t="str">
        <f>IF(G5&lt;&gt;0,G20*G5*G6*$C$10/$A$2,"")</f>
        <v/>
      </c>
    </row>
    <row r="30" spans="1:7" x14ac:dyDescent="0.25">
      <c r="A30" s="88" t="s">
        <v>42</v>
      </c>
      <c r="B30" s="28">
        <f>SUM(C30:G30)</f>
        <v>8.8110532008523659E-2</v>
      </c>
      <c r="C30" s="54">
        <f>IF(C5&lt;&gt;0,C21*C5*C6*$C$10^2/100/$A$2,"")</f>
        <v>8.8110532008523659E-2</v>
      </c>
      <c r="D30" s="54" t="str">
        <f>IF(D5&lt;&gt;0,D21*D5*D6*$C$10^2/100/$A$2,"")</f>
        <v/>
      </c>
      <c r="E30" s="54" t="str">
        <f>IF(E5&lt;&gt;0,E21*E5*E6*$C$10^2/100/$A$2,"")</f>
        <v/>
      </c>
      <c r="F30" s="54" t="str">
        <f>IF(F5&lt;&gt;0,F21*F5*F6*$C$10^2/100/$A$2,"")</f>
        <v/>
      </c>
      <c r="G30" s="86"/>
    </row>
    <row r="31" spans="1:7" x14ac:dyDescent="0.25">
      <c r="A31" s="88" t="s">
        <v>23</v>
      </c>
      <c r="B31" s="29">
        <f>SUM(C31:G31)</f>
        <v>10.862942302420727</v>
      </c>
      <c r="C31" s="55">
        <f>IF(C5&lt;&gt;0,C22*C5*C6*10000/$A$2,"")</f>
        <v>10.862942302420727</v>
      </c>
      <c r="D31" s="55" t="str">
        <f>IF(D5&lt;&gt;0,D22*D5*D6*10000/$A$2,"")</f>
        <v/>
      </c>
      <c r="E31" s="55" t="str">
        <f>IF(E5&lt;&gt;0,E22*E5*E6*10000/$A$2,"")</f>
        <v/>
      </c>
      <c r="F31" s="55" t="str">
        <f>IF(F5&lt;&gt;0,F22*F5*F6*10000/$A$2,"")</f>
        <v/>
      </c>
      <c r="G31" s="94"/>
    </row>
    <row r="32" spans="1:7" x14ac:dyDescent="0.25">
      <c r="A32" s="91" t="s">
        <v>24</v>
      </c>
      <c r="B32" s="30">
        <f>SUM(C32:G32)</f>
        <v>-2.7157355756051818</v>
      </c>
      <c r="C32" s="56">
        <f>IF(C5&lt;&gt;0,C23*C5*C6*10000/$A$2,"")</f>
        <v>-2.7157355756051818</v>
      </c>
      <c r="D32" s="56" t="str">
        <f>IF(D5&lt;&gt;0,D23*D5*D6*10000/$A$2,"")</f>
        <v/>
      </c>
      <c r="E32" s="56" t="str">
        <f>IF(E5&lt;&gt;0,E23*E5*E6*10000/$A$2,"")</f>
        <v/>
      </c>
      <c r="F32" s="56" t="str">
        <f>IF(F5&lt;&gt;0,F23*F5*F6*10000/$A$2,"")</f>
        <v/>
      </c>
      <c r="G32" s="95"/>
    </row>
    <row r="33" spans="1:7" s="32" customFormat="1" ht="11.25" customHeight="1" x14ac:dyDescent="0.25">
      <c r="C33" s="40"/>
      <c r="D33" s="40"/>
      <c r="E33" s="40"/>
      <c r="F33" s="40"/>
      <c r="G33" s="40"/>
    </row>
    <row r="34" spans="1:7" s="32" customFormat="1" ht="8.25" customHeight="1" x14ac:dyDescent="0.25">
      <c r="C34" s="40"/>
      <c r="D34" s="40"/>
      <c r="E34" s="40"/>
      <c r="F34" s="40"/>
      <c r="G34" s="40"/>
    </row>
    <row r="35" spans="1:7" x14ac:dyDescent="0.25">
      <c r="A35" s="96" t="s">
        <v>25</v>
      </c>
      <c r="B35" s="32"/>
      <c r="C35" s="40"/>
      <c r="D35" s="40"/>
      <c r="E35" s="40"/>
      <c r="F35" s="40"/>
      <c r="G35" s="40"/>
    </row>
    <row r="36" spans="1:7" x14ac:dyDescent="0.25">
      <c r="A36" s="97" t="s">
        <v>26</v>
      </c>
      <c r="B36" s="32"/>
      <c r="C36" s="40"/>
      <c r="D36" s="40"/>
      <c r="E36" s="40"/>
      <c r="F36" s="40"/>
      <c r="G36" s="40"/>
    </row>
    <row r="37" spans="1:7" x14ac:dyDescent="0.25">
      <c r="A37" s="98">
        <v>5.0000000000000001E-3</v>
      </c>
      <c r="B37" s="32"/>
      <c r="C37" s="40"/>
      <c r="D37" s="40"/>
      <c r="E37" s="40"/>
      <c r="F37" s="40"/>
      <c r="G37" s="40"/>
    </row>
    <row r="38" spans="1:7" x14ac:dyDescent="0.25">
      <c r="A38" s="99"/>
      <c r="B38" s="32"/>
      <c r="C38" s="40"/>
      <c r="D38" s="40"/>
      <c r="E38" s="40"/>
      <c r="F38" s="40"/>
      <c r="G38" s="40"/>
    </row>
    <row r="39" spans="1:7" x14ac:dyDescent="0.25">
      <c r="A39" s="100" t="s">
        <v>33</v>
      </c>
      <c r="B39" s="32"/>
      <c r="C39" s="40"/>
      <c r="D39" s="40"/>
      <c r="E39" s="40"/>
      <c r="F39" s="40"/>
      <c r="G39" s="40"/>
    </row>
    <row r="40" spans="1:7" x14ac:dyDescent="0.25">
      <c r="A40" s="101">
        <v>15</v>
      </c>
      <c r="B40" s="32"/>
      <c r="C40" s="40"/>
      <c r="D40" s="40"/>
      <c r="E40" s="40"/>
      <c r="F40" s="40"/>
      <c r="G40" s="40"/>
    </row>
    <row r="41" spans="1:7" x14ac:dyDescent="0.25">
      <c r="A41" s="99"/>
      <c r="B41" s="32"/>
      <c r="C41" s="40"/>
      <c r="D41" s="40"/>
      <c r="E41" s="40"/>
      <c r="F41" s="40"/>
      <c r="G41" s="40"/>
    </row>
    <row r="42" spans="1:7" x14ac:dyDescent="0.25">
      <c r="A42" s="100" t="s">
        <v>34</v>
      </c>
      <c r="B42" s="32"/>
      <c r="C42" s="40"/>
      <c r="D42" s="40"/>
      <c r="E42" s="40"/>
      <c r="F42" s="40"/>
      <c r="G42" s="40"/>
    </row>
    <row r="43" spans="1:7" x14ac:dyDescent="0.25">
      <c r="A43" s="102">
        <v>0</v>
      </c>
      <c r="B43" s="32"/>
      <c r="C43" s="40"/>
      <c r="D43" s="40"/>
      <c r="E43" s="40"/>
      <c r="F43" s="40"/>
      <c r="G43" s="40"/>
    </row>
    <row r="44" spans="1:7" s="32" customFormat="1" x14ac:dyDescent="0.25">
      <c r="C44" s="40"/>
      <c r="D44" s="40"/>
      <c r="E44" s="40"/>
      <c r="F44" s="40"/>
      <c r="G44" s="40"/>
    </row>
    <row r="45" spans="1:7" s="32" customFormat="1" x14ac:dyDescent="0.25">
      <c r="C45" s="40"/>
      <c r="D45" s="40"/>
      <c r="E45" s="40"/>
      <c r="F45" s="40"/>
      <c r="G45" s="40"/>
    </row>
    <row r="46" spans="1:7" s="32" customFormat="1" x14ac:dyDescent="0.25">
      <c r="C46" s="40"/>
      <c r="D46" s="40"/>
      <c r="E46" s="40"/>
      <c r="F46" s="40"/>
      <c r="G46" s="40"/>
    </row>
    <row r="47" spans="1:7" s="32" customFormat="1" x14ac:dyDescent="0.25">
      <c r="C47" s="40"/>
      <c r="D47" s="40"/>
      <c r="E47" s="40"/>
      <c r="F47" s="40"/>
      <c r="G47" s="40"/>
    </row>
    <row r="48" spans="1:7" s="32" customFormat="1" x14ac:dyDescent="0.25">
      <c r="C48" s="40"/>
      <c r="D48" s="40"/>
      <c r="E48" s="40"/>
      <c r="F48" s="40"/>
      <c r="G48" s="40"/>
    </row>
    <row r="49" spans="3:7" s="32" customFormat="1" x14ac:dyDescent="0.25">
      <c r="C49" s="40"/>
      <c r="D49" s="40"/>
      <c r="E49" s="40"/>
      <c r="F49" s="40"/>
      <c r="G49" s="40"/>
    </row>
    <row r="50" spans="3:7" s="32" customFormat="1" x14ac:dyDescent="0.25">
      <c r="C50" s="40"/>
      <c r="D50" s="40"/>
      <c r="E50" s="40"/>
      <c r="F50" s="40"/>
      <c r="G50" s="40"/>
    </row>
    <row r="51" spans="3:7" s="32" customFormat="1" x14ac:dyDescent="0.25">
      <c r="C51" s="40"/>
      <c r="D51" s="40"/>
      <c r="E51" s="40"/>
      <c r="F51" s="40"/>
      <c r="G51" s="40"/>
    </row>
    <row r="52" spans="3:7" s="32" customFormat="1" x14ac:dyDescent="0.25">
      <c r="C52" s="40"/>
      <c r="D52" s="40"/>
      <c r="E52" s="40"/>
      <c r="F52" s="40"/>
      <c r="G52" s="40"/>
    </row>
    <row r="53" spans="3:7" s="32" customFormat="1" x14ac:dyDescent="0.25">
      <c r="C53" s="40"/>
      <c r="D53" s="40"/>
      <c r="E53" s="40"/>
      <c r="F53" s="40"/>
      <c r="G53" s="40"/>
    </row>
    <row r="54" spans="3:7" s="32" customFormat="1" x14ac:dyDescent="0.25">
      <c r="C54" s="40"/>
      <c r="D54" s="40"/>
      <c r="E54" s="40"/>
      <c r="F54" s="40"/>
      <c r="G54" s="40"/>
    </row>
    <row r="55" spans="3:7" s="32" customFormat="1" x14ac:dyDescent="0.25">
      <c r="C55" s="40"/>
      <c r="D55" s="40"/>
      <c r="E55" s="40"/>
      <c r="F55" s="40"/>
      <c r="G55" s="40"/>
    </row>
    <row r="56" spans="3:7" s="32" customFormat="1" x14ac:dyDescent="0.25">
      <c r="C56" s="40"/>
      <c r="D56" s="40"/>
      <c r="E56" s="40"/>
      <c r="F56" s="40"/>
      <c r="G56" s="40"/>
    </row>
    <row r="57" spans="3:7" s="32" customFormat="1" x14ac:dyDescent="0.25">
      <c r="C57" s="40"/>
      <c r="D57" s="40"/>
      <c r="E57" s="40"/>
      <c r="F57" s="40"/>
      <c r="G57" s="40"/>
    </row>
    <row r="58" spans="3:7" s="32" customFormat="1" x14ac:dyDescent="0.25">
      <c r="C58" s="40"/>
      <c r="D58" s="40"/>
      <c r="E58" s="40"/>
      <c r="F58" s="40"/>
      <c r="G58" s="40"/>
    </row>
    <row r="59" spans="3:7" s="32" customFormat="1" x14ac:dyDescent="0.25">
      <c r="C59" s="40"/>
      <c r="D59" s="40"/>
      <c r="E59" s="40"/>
      <c r="F59" s="40"/>
      <c r="G59" s="40"/>
    </row>
    <row r="60" spans="3:7" s="32" customFormat="1" x14ac:dyDescent="0.25">
      <c r="C60" s="40"/>
      <c r="D60" s="40"/>
      <c r="E60" s="40"/>
      <c r="F60" s="40"/>
      <c r="G60" s="40"/>
    </row>
    <row r="61" spans="3:7" s="32" customFormat="1" x14ac:dyDescent="0.25">
      <c r="C61" s="40"/>
      <c r="D61" s="40"/>
      <c r="E61" s="40"/>
      <c r="F61" s="40"/>
      <c r="G61" s="40"/>
    </row>
    <row r="62" spans="3:7" s="32" customFormat="1" x14ac:dyDescent="0.25">
      <c r="C62" s="40"/>
      <c r="D62" s="40"/>
      <c r="E62" s="40"/>
      <c r="F62" s="40"/>
      <c r="G62" s="40"/>
    </row>
    <row r="63" spans="3:7" s="32" customFormat="1" x14ac:dyDescent="0.25">
      <c r="C63" s="40"/>
      <c r="D63" s="40"/>
      <c r="E63" s="40"/>
      <c r="F63" s="40"/>
      <c r="G63" s="40"/>
    </row>
    <row r="64" spans="3:7" s="32" customFormat="1" x14ac:dyDescent="0.25">
      <c r="C64" s="40"/>
      <c r="D64" s="40"/>
      <c r="E64" s="40"/>
      <c r="F64" s="40"/>
      <c r="G64" s="40"/>
    </row>
    <row r="65" spans="3:7" s="32" customFormat="1" x14ac:dyDescent="0.25">
      <c r="C65" s="40"/>
      <c r="D65" s="40"/>
      <c r="E65" s="40"/>
      <c r="F65" s="40"/>
      <c r="G65" s="40"/>
    </row>
    <row r="66" spans="3:7" s="32" customFormat="1" x14ac:dyDescent="0.25">
      <c r="C66" s="40"/>
      <c r="D66" s="40"/>
      <c r="E66" s="40"/>
      <c r="F66" s="40"/>
      <c r="G66" s="40"/>
    </row>
    <row r="67" spans="3:7" s="32" customFormat="1" x14ac:dyDescent="0.25">
      <c r="C67" s="40"/>
      <c r="D67" s="40"/>
      <c r="E67" s="40"/>
      <c r="F67" s="40"/>
      <c r="G67" s="40"/>
    </row>
    <row r="68" spans="3:7" s="32" customFormat="1" x14ac:dyDescent="0.25">
      <c r="C68" s="40"/>
      <c r="D68" s="40"/>
      <c r="E68" s="40"/>
      <c r="F68" s="40"/>
      <c r="G68" s="40"/>
    </row>
    <row r="69" spans="3:7" s="32" customFormat="1" x14ac:dyDescent="0.25">
      <c r="C69" s="40"/>
      <c r="D69" s="40"/>
      <c r="E69" s="40"/>
      <c r="F69" s="40"/>
      <c r="G69" s="40"/>
    </row>
    <row r="70" spans="3:7" s="32" customFormat="1" x14ac:dyDescent="0.25">
      <c r="C70" s="40"/>
      <c r="D70" s="40"/>
      <c r="E70" s="40"/>
      <c r="F70" s="40"/>
      <c r="G70" s="40"/>
    </row>
    <row r="71" spans="3:7" s="32" customFormat="1" x14ac:dyDescent="0.25">
      <c r="C71" s="40"/>
      <c r="D71" s="40"/>
      <c r="E71" s="40"/>
      <c r="F71" s="40"/>
      <c r="G71" s="40"/>
    </row>
    <row r="72" spans="3:7" s="32" customFormat="1" x14ac:dyDescent="0.25">
      <c r="C72" s="40"/>
      <c r="D72" s="40"/>
      <c r="E72" s="40"/>
      <c r="F72" s="40"/>
      <c r="G72" s="40"/>
    </row>
    <row r="73" spans="3:7" s="32" customFormat="1" x14ac:dyDescent="0.25">
      <c r="C73" s="40"/>
      <c r="D73" s="40"/>
      <c r="E73" s="40"/>
      <c r="F73" s="40"/>
      <c r="G73" s="40"/>
    </row>
    <row r="74" spans="3:7" s="32" customFormat="1" x14ac:dyDescent="0.25">
      <c r="C74" s="40"/>
      <c r="D74" s="40"/>
      <c r="E74" s="40"/>
      <c r="F74" s="40"/>
      <c r="G74" s="40"/>
    </row>
    <row r="75" spans="3:7" s="32" customFormat="1" x14ac:dyDescent="0.25">
      <c r="C75" s="40"/>
      <c r="D75" s="40"/>
      <c r="E75" s="40"/>
      <c r="F75" s="40"/>
      <c r="G75" s="40"/>
    </row>
    <row r="76" spans="3:7" s="32" customFormat="1" x14ac:dyDescent="0.25">
      <c r="C76" s="40"/>
      <c r="D76" s="40"/>
      <c r="E76" s="40"/>
      <c r="F76" s="40"/>
      <c r="G76" s="40"/>
    </row>
    <row r="77" spans="3:7" s="32" customFormat="1" x14ac:dyDescent="0.25">
      <c r="C77" s="40"/>
      <c r="D77" s="40"/>
      <c r="E77" s="40"/>
      <c r="F77" s="40"/>
      <c r="G77" s="40"/>
    </row>
    <row r="78" spans="3:7" s="32" customFormat="1" x14ac:dyDescent="0.25">
      <c r="C78" s="40"/>
      <c r="D78" s="40"/>
      <c r="E78" s="40"/>
      <c r="F78" s="40"/>
      <c r="G78" s="40"/>
    </row>
    <row r="79" spans="3:7" s="32" customFormat="1" x14ac:dyDescent="0.25">
      <c r="C79" s="40"/>
      <c r="D79" s="40"/>
      <c r="E79" s="40"/>
      <c r="F79" s="40"/>
      <c r="G79" s="40"/>
    </row>
    <row r="80" spans="3:7" s="32" customFormat="1" x14ac:dyDescent="0.25">
      <c r="C80" s="40"/>
      <c r="D80" s="40"/>
      <c r="E80" s="40"/>
      <c r="F80" s="40"/>
      <c r="G80" s="40"/>
    </row>
    <row r="81" spans="3:7" s="32" customFormat="1" x14ac:dyDescent="0.25">
      <c r="C81" s="40"/>
      <c r="D81" s="40"/>
      <c r="E81" s="40"/>
      <c r="F81" s="40"/>
      <c r="G81" s="40"/>
    </row>
    <row r="82" spans="3:7" s="32" customFormat="1" x14ac:dyDescent="0.25">
      <c r="C82" s="40"/>
      <c r="D82" s="40"/>
      <c r="E82" s="40"/>
      <c r="F82" s="40"/>
      <c r="G82" s="40"/>
    </row>
    <row r="83" spans="3:7" s="32" customFormat="1" x14ac:dyDescent="0.25">
      <c r="C83" s="40"/>
      <c r="D83" s="40"/>
      <c r="E83" s="40"/>
      <c r="F83" s="40"/>
      <c r="G83" s="40"/>
    </row>
    <row r="84" spans="3:7" s="32" customFormat="1" x14ac:dyDescent="0.25">
      <c r="C84" s="40"/>
      <c r="D84" s="40"/>
      <c r="E84" s="40"/>
      <c r="F84" s="40"/>
      <c r="G84" s="40"/>
    </row>
    <row r="85" spans="3:7" s="32" customFormat="1" x14ac:dyDescent="0.25">
      <c r="C85" s="40"/>
      <c r="D85" s="40"/>
      <c r="E85" s="40"/>
      <c r="F85" s="40"/>
      <c r="G85" s="40"/>
    </row>
    <row r="86" spans="3:7" s="32" customFormat="1" x14ac:dyDescent="0.25">
      <c r="C86" s="40"/>
      <c r="D86" s="40"/>
      <c r="E86" s="40"/>
      <c r="F86" s="40"/>
      <c r="G86" s="40"/>
    </row>
    <row r="87" spans="3:7" s="32" customFormat="1" x14ac:dyDescent="0.25">
      <c r="C87" s="40"/>
      <c r="D87" s="40"/>
      <c r="E87" s="40"/>
      <c r="F87" s="40"/>
      <c r="G87" s="40"/>
    </row>
    <row r="88" spans="3:7" s="32" customFormat="1" x14ac:dyDescent="0.25">
      <c r="C88" s="40"/>
      <c r="D88" s="40"/>
      <c r="E88" s="40"/>
      <c r="F88" s="40"/>
      <c r="G88" s="40"/>
    </row>
    <row r="89" spans="3:7" s="32" customFormat="1" x14ac:dyDescent="0.25">
      <c r="C89" s="40"/>
      <c r="D89" s="40"/>
      <c r="E89" s="40"/>
      <c r="F89" s="40"/>
      <c r="G89" s="40"/>
    </row>
    <row r="90" spans="3:7" s="32" customFormat="1" x14ac:dyDescent="0.25">
      <c r="C90" s="40"/>
      <c r="D90" s="40"/>
      <c r="E90" s="40"/>
      <c r="F90" s="40"/>
      <c r="G90" s="40"/>
    </row>
    <row r="91" spans="3:7" s="32" customFormat="1" x14ac:dyDescent="0.25">
      <c r="C91" s="40"/>
      <c r="D91" s="40"/>
      <c r="E91" s="40"/>
      <c r="F91" s="40"/>
      <c r="G91" s="40"/>
    </row>
    <row r="92" spans="3:7" s="32" customFormat="1" x14ac:dyDescent="0.25">
      <c r="C92" s="40"/>
      <c r="D92" s="40"/>
      <c r="E92" s="40"/>
      <c r="F92" s="40"/>
      <c r="G92" s="40"/>
    </row>
    <row r="93" spans="3:7" s="32" customFormat="1" x14ac:dyDescent="0.25">
      <c r="C93" s="40"/>
      <c r="D93" s="40"/>
      <c r="E93" s="40"/>
      <c r="F93" s="40"/>
      <c r="G93" s="40"/>
    </row>
    <row r="94" spans="3:7" s="32" customFormat="1" x14ac:dyDescent="0.25">
      <c r="C94" s="40"/>
      <c r="D94" s="40"/>
      <c r="E94" s="40"/>
      <c r="F94" s="40"/>
      <c r="G94" s="40"/>
    </row>
    <row r="95" spans="3:7" s="32" customFormat="1" x14ac:dyDescent="0.25">
      <c r="C95" s="40"/>
      <c r="D95" s="40"/>
      <c r="E95" s="40"/>
      <c r="F95" s="40"/>
      <c r="G95" s="40"/>
    </row>
    <row r="96" spans="3:7" s="32" customFormat="1" x14ac:dyDescent="0.25">
      <c r="C96" s="40"/>
      <c r="D96" s="40"/>
      <c r="E96" s="40"/>
      <c r="F96" s="40"/>
      <c r="G96" s="40"/>
    </row>
    <row r="97" spans="3:7" s="32" customFormat="1" x14ac:dyDescent="0.25">
      <c r="C97" s="40"/>
      <c r="D97" s="40"/>
      <c r="E97" s="40"/>
      <c r="F97" s="40"/>
      <c r="G97" s="40"/>
    </row>
    <row r="98" spans="3:7" s="32" customFormat="1" x14ac:dyDescent="0.25">
      <c r="C98" s="40"/>
      <c r="D98" s="40"/>
      <c r="E98" s="40"/>
      <c r="F98" s="40"/>
      <c r="G98" s="40"/>
    </row>
    <row r="99" spans="3:7" s="32" customFormat="1" x14ac:dyDescent="0.25">
      <c r="C99" s="40"/>
      <c r="D99" s="40"/>
      <c r="E99" s="40"/>
      <c r="F99" s="40"/>
      <c r="G99" s="40"/>
    </row>
    <row r="100" spans="3:7" s="32" customFormat="1" x14ac:dyDescent="0.25">
      <c r="C100" s="40"/>
      <c r="D100" s="40"/>
      <c r="E100" s="40"/>
      <c r="F100" s="40"/>
      <c r="G100" s="40"/>
    </row>
    <row r="101" spans="3:7" s="32" customFormat="1" x14ac:dyDescent="0.25">
      <c r="C101" s="40"/>
      <c r="D101" s="40"/>
      <c r="E101" s="40"/>
      <c r="F101" s="40"/>
      <c r="G101" s="40"/>
    </row>
    <row r="102" spans="3:7" s="32" customFormat="1" x14ac:dyDescent="0.25">
      <c r="C102" s="40"/>
      <c r="D102" s="40"/>
      <c r="E102" s="40"/>
      <c r="F102" s="40"/>
      <c r="G102" s="40"/>
    </row>
    <row r="103" spans="3:7" s="32" customFormat="1" x14ac:dyDescent="0.25">
      <c r="C103" s="40"/>
      <c r="D103" s="40"/>
      <c r="E103" s="40"/>
      <c r="F103" s="40"/>
      <c r="G103" s="40"/>
    </row>
    <row r="104" spans="3:7" s="32" customFormat="1" x14ac:dyDescent="0.25">
      <c r="C104" s="40"/>
      <c r="D104" s="40"/>
      <c r="E104" s="40"/>
      <c r="F104" s="40"/>
      <c r="G104" s="40"/>
    </row>
    <row r="105" spans="3:7" s="32" customFormat="1" x14ac:dyDescent="0.25">
      <c r="C105" s="40"/>
      <c r="D105" s="40"/>
      <c r="E105" s="40"/>
      <c r="F105" s="40"/>
      <c r="G105" s="40"/>
    </row>
    <row r="106" spans="3:7" s="32" customFormat="1" x14ac:dyDescent="0.25">
      <c r="C106" s="40"/>
      <c r="D106" s="40"/>
      <c r="E106" s="40"/>
      <c r="F106" s="40"/>
      <c r="G106" s="40"/>
    </row>
    <row r="107" spans="3:7" s="32" customFormat="1" x14ac:dyDescent="0.25">
      <c r="C107" s="40"/>
      <c r="D107" s="40"/>
      <c r="E107" s="40"/>
      <c r="F107" s="40"/>
      <c r="G107" s="40"/>
    </row>
    <row r="108" spans="3:7" s="32" customFormat="1" x14ac:dyDescent="0.25">
      <c r="C108" s="40"/>
      <c r="D108" s="40"/>
      <c r="E108" s="40"/>
      <c r="F108" s="40"/>
      <c r="G108" s="40"/>
    </row>
    <row r="109" spans="3:7" s="32" customFormat="1" x14ac:dyDescent="0.25">
      <c r="C109" s="40"/>
      <c r="D109" s="40"/>
      <c r="E109" s="40"/>
      <c r="F109" s="40"/>
      <c r="G109" s="40"/>
    </row>
    <row r="110" spans="3:7" s="32" customFormat="1" x14ac:dyDescent="0.25">
      <c r="C110" s="40"/>
      <c r="D110" s="40"/>
      <c r="E110" s="40"/>
      <c r="F110" s="40"/>
      <c r="G110" s="40"/>
    </row>
    <row r="111" spans="3:7" s="32" customFormat="1" x14ac:dyDescent="0.25">
      <c r="C111" s="40"/>
      <c r="D111" s="40"/>
      <c r="E111" s="40"/>
      <c r="F111" s="40"/>
      <c r="G111" s="40"/>
    </row>
    <row r="112" spans="3:7" s="32" customFormat="1" x14ac:dyDescent="0.25">
      <c r="C112" s="40"/>
      <c r="D112" s="40"/>
      <c r="E112" s="40"/>
      <c r="F112" s="40"/>
      <c r="G112" s="40"/>
    </row>
    <row r="113" spans="3:7" s="32" customFormat="1" x14ac:dyDescent="0.25">
      <c r="C113" s="40"/>
      <c r="D113" s="40"/>
      <c r="E113" s="40"/>
      <c r="F113" s="40"/>
      <c r="G113" s="40"/>
    </row>
    <row r="114" spans="3:7" s="32" customFormat="1" x14ac:dyDescent="0.25">
      <c r="C114" s="40"/>
      <c r="D114" s="40"/>
      <c r="E114" s="40"/>
      <c r="F114" s="40"/>
      <c r="G114" s="40"/>
    </row>
    <row r="115" spans="3:7" s="32" customFormat="1" x14ac:dyDescent="0.25">
      <c r="C115" s="40"/>
      <c r="D115" s="40"/>
      <c r="E115" s="40"/>
      <c r="F115" s="40"/>
      <c r="G115" s="40"/>
    </row>
    <row r="116" spans="3:7" s="32" customFormat="1" x14ac:dyDescent="0.25">
      <c r="C116" s="40"/>
      <c r="D116" s="40"/>
      <c r="E116" s="40"/>
      <c r="F116" s="40"/>
      <c r="G116" s="40"/>
    </row>
    <row r="117" spans="3:7" s="32" customFormat="1" x14ac:dyDescent="0.25">
      <c r="C117" s="40"/>
      <c r="D117" s="40"/>
      <c r="E117" s="40"/>
      <c r="F117" s="40"/>
      <c r="G117" s="40"/>
    </row>
    <row r="118" spans="3:7" s="32" customFormat="1" x14ac:dyDescent="0.25">
      <c r="C118" s="40"/>
      <c r="D118" s="40"/>
      <c r="E118" s="40"/>
      <c r="F118" s="40"/>
      <c r="G118" s="40"/>
    </row>
    <row r="119" spans="3:7" s="32" customFormat="1" x14ac:dyDescent="0.25">
      <c r="C119" s="40"/>
      <c r="D119" s="40"/>
      <c r="E119" s="40"/>
      <c r="F119" s="40"/>
      <c r="G119" s="40"/>
    </row>
    <row r="120" spans="3:7" s="32" customFormat="1" x14ac:dyDescent="0.25">
      <c r="C120" s="40"/>
      <c r="D120" s="40"/>
      <c r="E120" s="40"/>
      <c r="F120" s="40"/>
      <c r="G120" s="40"/>
    </row>
    <row r="121" spans="3:7" s="32" customFormat="1" x14ac:dyDescent="0.25">
      <c r="C121" s="40"/>
      <c r="D121" s="40"/>
      <c r="E121" s="40"/>
      <c r="F121" s="40"/>
      <c r="G121" s="40"/>
    </row>
    <row r="122" spans="3:7" s="32" customFormat="1" x14ac:dyDescent="0.25">
      <c r="C122" s="40"/>
      <c r="D122" s="40"/>
      <c r="E122" s="40"/>
      <c r="F122" s="40"/>
      <c r="G122" s="40"/>
    </row>
    <row r="123" spans="3:7" s="32" customFormat="1" x14ac:dyDescent="0.25">
      <c r="C123" s="40"/>
      <c r="D123" s="40"/>
      <c r="E123" s="40"/>
      <c r="F123" s="40"/>
      <c r="G123" s="40"/>
    </row>
    <row r="124" spans="3:7" s="32" customFormat="1" x14ac:dyDescent="0.25">
      <c r="C124" s="40"/>
      <c r="D124" s="40"/>
      <c r="E124" s="40"/>
      <c r="F124" s="40"/>
      <c r="G124" s="40"/>
    </row>
    <row r="125" spans="3:7" s="32" customFormat="1" x14ac:dyDescent="0.25">
      <c r="C125" s="40"/>
      <c r="D125" s="40"/>
      <c r="E125" s="40"/>
      <c r="F125" s="40"/>
      <c r="G125" s="40"/>
    </row>
    <row r="126" spans="3:7" s="32" customFormat="1" x14ac:dyDescent="0.25">
      <c r="C126" s="40"/>
      <c r="D126" s="40"/>
      <c r="E126" s="40"/>
      <c r="F126" s="40"/>
      <c r="G126" s="40"/>
    </row>
    <row r="127" spans="3:7" s="32" customFormat="1" x14ac:dyDescent="0.25">
      <c r="C127" s="40"/>
      <c r="D127" s="40"/>
      <c r="E127" s="40"/>
      <c r="F127" s="40"/>
      <c r="G127" s="40"/>
    </row>
    <row r="128" spans="3:7" s="32" customFormat="1" x14ac:dyDescent="0.25">
      <c r="C128" s="40"/>
      <c r="D128" s="40"/>
      <c r="E128" s="40"/>
      <c r="F128" s="40"/>
      <c r="G128" s="40"/>
    </row>
    <row r="129" spans="3:7" s="32" customFormat="1" x14ac:dyDescent="0.25">
      <c r="C129" s="40"/>
      <c r="D129" s="40"/>
      <c r="E129" s="40"/>
      <c r="F129" s="40"/>
      <c r="G129" s="40"/>
    </row>
    <row r="130" spans="3:7" s="32" customFormat="1" x14ac:dyDescent="0.25">
      <c r="C130" s="40"/>
      <c r="D130" s="40"/>
      <c r="E130" s="40"/>
      <c r="F130" s="40"/>
      <c r="G130" s="40"/>
    </row>
    <row r="131" spans="3:7" s="32" customFormat="1" x14ac:dyDescent="0.25">
      <c r="C131" s="40"/>
      <c r="D131" s="40"/>
      <c r="E131" s="40"/>
      <c r="F131" s="40"/>
      <c r="G131" s="40"/>
    </row>
    <row r="132" spans="3:7" s="32" customFormat="1" x14ac:dyDescent="0.25">
      <c r="C132" s="40"/>
      <c r="D132" s="40"/>
      <c r="E132" s="40"/>
      <c r="F132" s="40"/>
      <c r="G132" s="40"/>
    </row>
    <row r="133" spans="3:7" s="32" customFormat="1" x14ac:dyDescent="0.25">
      <c r="C133" s="40"/>
      <c r="D133" s="40"/>
      <c r="E133" s="40"/>
      <c r="F133" s="40"/>
      <c r="G133" s="40"/>
    </row>
    <row r="134" spans="3:7" s="32" customFormat="1" x14ac:dyDescent="0.25">
      <c r="C134" s="40"/>
      <c r="D134" s="40"/>
      <c r="E134" s="40"/>
      <c r="F134" s="40"/>
      <c r="G134" s="40"/>
    </row>
    <row r="135" spans="3:7" s="32" customFormat="1" x14ac:dyDescent="0.25">
      <c r="C135" s="40"/>
      <c r="D135" s="40"/>
      <c r="E135" s="40"/>
      <c r="F135" s="40"/>
      <c r="G135" s="40"/>
    </row>
    <row r="136" spans="3:7" s="32" customFormat="1" x14ac:dyDescent="0.25">
      <c r="C136" s="40"/>
      <c r="D136" s="40"/>
      <c r="E136" s="40"/>
      <c r="F136" s="40"/>
      <c r="G136" s="40"/>
    </row>
    <row r="137" spans="3:7" s="32" customFormat="1" x14ac:dyDescent="0.25">
      <c r="C137" s="40"/>
      <c r="D137" s="40"/>
      <c r="E137" s="40"/>
      <c r="F137" s="40"/>
      <c r="G137" s="40"/>
    </row>
    <row r="138" spans="3:7" s="32" customFormat="1" x14ac:dyDescent="0.25">
      <c r="C138" s="40"/>
      <c r="D138" s="40"/>
      <c r="E138" s="40"/>
      <c r="F138" s="40"/>
      <c r="G138" s="40"/>
    </row>
    <row r="139" spans="3:7" s="32" customFormat="1" x14ac:dyDescent="0.25">
      <c r="C139" s="40"/>
      <c r="D139" s="40"/>
      <c r="E139" s="40"/>
      <c r="F139" s="40"/>
      <c r="G139" s="40"/>
    </row>
    <row r="140" spans="3:7" s="32" customFormat="1" x14ac:dyDescent="0.25">
      <c r="C140" s="40"/>
      <c r="D140" s="40"/>
      <c r="E140" s="40"/>
      <c r="F140" s="40"/>
      <c r="G140" s="40"/>
    </row>
    <row r="141" spans="3:7" s="32" customFormat="1" x14ac:dyDescent="0.25">
      <c r="C141" s="40"/>
      <c r="D141" s="40"/>
      <c r="E141" s="40"/>
      <c r="F141" s="40"/>
      <c r="G141" s="40"/>
    </row>
    <row r="142" spans="3:7" s="32" customFormat="1" x14ac:dyDescent="0.25">
      <c r="C142" s="40"/>
      <c r="D142" s="40"/>
      <c r="E142" s="40"/>
      <c r="F142" s="40"/>
      <c r="G142" s="40"/>
    </row>
    <row r="143" spans="3:7" s="32" customFormat="1" x14ac:dyDescent="0.25">
      <c r="C143" s="40"/>
      <c r="D143" s="40"/>
      <c r="E143" s="40"/>
      <c r="F143" s="40"/>
      <c r="G143" s="40"/>
    </row>
    <row r="144" spans="3:7" s="32" customFormat="1" x14ac:dyDescent="0.25">
      <c r="C144" s="40"/>
      <c r="D144" s="40"/>
      <c r="E144" s="40"/>
      <c r="F144" s="40"/>
      <c r="G144" s="40"/>
    </row>
    <row r="145" spans="3:7" s="32" customFormat="1" x14ac:dyDescent="0.25">
      <c r="C145" s="40"/>
      <c r="D145" s="40"/>
      <c r="E145" s="40"/>
      <c r="F145" s="40"/>
      <c r="G145" s="40"/>
    </row>
    <row r="146" spans="3:7" s="32" customFormat="1" x14ac:dyDescent="0.25">
      <c r="C146" s="40"/>
      <c r="D146" s="40"/>
      <c r="E146" s="40"/>
      <c r="F146" s="40"/>
      <c r="G146" s="40"/>
    </row>
    <row r="147" spans="3:7" s="32" customFormat="1" x14ac:dyDescent="0.25">
      <c r="C147" s="40"/>
      <c r="D147" s="40"/>
      <c r="E147" s="40"/>
      <c r="F147" s="40"/>
      <c r="G147" s="40"/>
    </row>
    <row r="148" spans="3:7" s="32" customFormat="1" x14ac:dyDescent="0.25">
      <c r="C148" s="40"/>
      <c r="D148" s="40"/>
      <c r="E148" s="40"/>
      <c r="F148" s="40"/>
      <c r="G148" s="40"/>
    </row>
    <row r="149" spans="3:7" s="32" customFormat="1" x14ac:dyDescent="0.25">
      <c r="C149" s="40"/>
      <c r="D149" s="40"/>
      <c r="E149" s="40"/>
      <c r="F149" s="40"/>
      <c r="G149" s="40"/>
    </row>
    <row r="150" spans="3:7" s="32" customFormat="1" x14ac:dyDescent="0.25">
      <c r="C150" s="40"/>
      <c r="D150" s="40"/>
      <c r="E150" s="40"/>
      <c r="F150" s="40"/>
      <c r="G150" s="40"/>
    </row>
    <row r="151" spans="3:7" s="32" customFormat="1" x14ac:dyDescent="0.25">
      <c r="C151" s="40"/>
      <c r="D151" s="40"/>
      <c r="E151" s="40"/>
      <c r="F151" s="40"/>
      <c r="G151" s="40"/>
    </row>
    <row r="152" spans="3:7" s="32" customFormat="1" x14ac:dyDescent="0.25">
      <c r="C152" s="40"/>
      <c r="D152" s="40"/>
      <c r="E152" s="40"/>
      <c r="F152" s="40"/>
      <c r="G152" s="40"/>
    </row>
    <row r="153" spans="3:7" s="32" customFormat="1" x14ac:dyDescent="0.25">
      <c r="C153" s="40"/>
      <c r="D153" s="40"/>
      <c r="E153" s="40"/>
      <c r="F153" s="40"/>
      <c r="G153" s="40"/>
    </row>
    <row r="154" spans="3:7" s="32" customFormat="1" x14ac:dyDescent="0.25">
      <c r="C154" s="40"/>
      <c r="D154" s="40"/>
      <c r="E154" s="40"/>
      <c r="F154" s="40"/>
      <c r="G154" s="40"/>
    </row>
    <row r="155" spans="3:7" s="32" customFormat="1" x14ac:dyDescent="0.25">
      <c r="C155" s="40"/>
      <c r="D155" s="40"/>
      <c r="E155" s="40"/>
      <c r="F155" s="40"/>
      <c r="G155" s="40"/>
    </row>
    <row r="156" spans="3:7" s="32" customFormat="1" x14ac:dyDescent="0.25">
      <c r="C156" s="40"/>
      <c r="D156" s="40"/>
      <c r="E156" s="40"/>
      <c r="F156" s="40"/>
      <c r="G156" s="40"/>
    </row>
    <row r="157" spans="3:7" s="32" customFormat="1" x14ac:dyDescent="0.25">
      <c r="C157" s="40"/>
      <c r="D157" s="40"/>
      <c r="E157" s="40"/>
      <c r="F157" s="40"/>
      <c r="G157" s="40"/>
    </row>
    <row r="158" spans="3:7" s="32" customFormat="1" x14ac:dyDescent="0.25">
      <c r="C158" s="40"/>
      <c r="D158" s="40"/>
      <c r="E158" s="40"/>
      <c r="F158" s="40"/>
      <c r="G158" s="40"/>
    </row>
    <row r="159" spans="3:7" s="32" customFormat="1" x14ac:dyDescent="0.25">
      <c r="C159" s="40"/>
      <c r="D159" s="40"/>
      <c r="E159" s="40"/>
      <c r="F159" s="40"/>
      <c r="G159" s="40"/>
    </row>
    <row r="160" spans="3:7" s="32" customFormat="1" x14ac:dyDescent="0.25">
      <c r="C160" s="40"/>
      <c r="D160" s="40"/>
      <c r="E160" s="40"/>
      <c r="F160" s="40"/>
      <c r="G160" s="40"/>
    </row>
    <row r="161" spans="3:7" s="32" customFormat="1" x14ac:dyDescent="0.25">
      <c r="C161" s="40"/>
      <c r="D161" s="40"/>
      <c r="E161" s="40"/>
      <c r="F161" s="40"/>
      <c r="G161" s="40"/>
    </row>
    <row r="162" spans="3:7" s="32" customFormat="1" x14ac:dyDescent="0.25">
      <c r="C162" s="40"/>
      <c r="D162" s="40"/>
      <c r="E162" s="40"/>
      <c r="F162" s="40"/>
      <c r="G162" s="40"/>
    </row>
    <row r="163" spans="3:7" s="32" customFormat="1" x14ac:dyDescent="0.25">
      <c r="C163" s="40"/>
      <c r="D163" s="40"/>
      <c r="E163" s="40"/>
      <c r="F163" s="40"/>
      <c r="G163" s="40"/>
    </row>
    <row r="164" spans="3:7" s="32" customFormat="1" x14ac:dyDescent="0.25">
      <c r="C164" s="40"/>
      <c r="D164" s="40"/>
      <c r="E164" s="40"/>
      <c r="F164" s="40"/>
      <c r="G164" s="40"/>
    </row>
    <row r="165" spans="3:7" s="32" customFormat="1" x14ac:dyDescent="0.25">
      <c r="C165" s="40"/>
      <c r="D165" s="40"/>
      <c r="E165" s="40"/>
      <c r="F165" s="40"/>
      <c r="G165" s="40"/>
    </row>
    <row r="166" spans="3:7" s="32" customFormat="1" x14ac:dyDescent="0.25">
      <c r="C166" s="40"/>
      <c r="D166" s="40"/>
      <c r="E166" s="40"/>
      <c r="F166" s="40"/>
      <c r="G166" s="40"/>
    </row>
    <row r="167" spans="3:7" s="32" customFormat="1" x14ac:dyDescent="0.25">
      <c r="C167" s="40"/>
      <c r="D167" s="40"/>
      <c r="E167" s="40"/>
      <c r="F167" s="40"/>
      <c r="G167" s="40"/>
    </row>
    <row r="168" spans="3:7" s="32" customFormat="1" x14ac:dyDescent="0.25">
      <c r="C168" s="40"/>
      <c r="D168" s="40"/>
      <c r="E168" s="40"/>
      <c r="F168" s="40"/>
      <c r="G168" s="40"/>
    </row>
    <row r="169" spans="3:7" s="32" customFormat="1" x14ac:dyDescent="0.25">
      <c r="C169" s="40"/>
      <c r="D169" s="40"/>
      <c r="E169" s="40"/>
      <c r="F169" s="40"/>
      <c r="G169" s="40"/>
    </row>
    <row r="170" spans="3:7" s="32" customFormat="1" x14ac:dyDescent="0.25">
      <c r="C170" s="40"/>
      <c r="D170" s="40"/>
      <c r="E170" s="40"/>
      <c r="F170" s="40"/>
      <c r="G170" s="40"/>
    </row>
    <row r="171" spans="3:7" s="32" customFormat="1" x14ac:dyDescent="0.25">
      <c r="C171" s="40"/>
      <c r="D171" s="40"/>
      <c r="E171" s="40"/>
      <c r="F171" s="40"/>
      <c r="G171" s="40"/>
    </row>
    <row r="172" spans="3:7" s="32" customFormat="1" x14ac:dyDescent="0.25">
      <c r="C172" s="40"/>
      <c r="D172" s="40"/>
      <c r="E172" s="40"/>
      <c r="F172" s="40"/>
      <c r="G172" s="40"/>
    </row>
    <row r="173" spans="3:7" s="32" customFormat="1" x14ac:dyDescent="0.25">
      <c r="C173" s="40"/>
      <c r="D173" s="40"/>
      <c r="E173" s="40"/>
      <c r="F173" s="40"/>
      <c r="G173" s="40"/>
    </row>
    <row r="174" spans="3:7" s="32" customFormat="1" x14ac:dyDescent="0.25">
      <c r="C174" s="40"/>
      <c r="D174" s="40"/>
      <c r="E174" s="40"/>
      <c r="F174" s="40"/>
      <c r="G174" s="40"/>
    </row>
    <row r="175" spans="3:7" s="32" customFormat="1" x14ac:dyDescent="0.25">
      <c r="C175" s="40"/>
      <c r="D175" s="40"/>
      <c r="E175" s="40"/>
      <c r="F175" s="40"/>
      <c r="G175" s="40"/>
    </row>
    <row r="176" spans="3:7" s="32" customFormat="1" x14ac:dyDescent="0.25">
      <c r="C176" s="40"/>
      <c r="D176" s="40"/>
      <c r="E176" s="40"/>
      <c r="F176" s="40"/>
      <c r="G176" s="40"/>
    </row>
    <row r="177" spans="3:7" s="32" customFormat="1" x14ac:dyDescent="0.25">
      <c r="C177" s="40"/>
      <c r="D177" s="40"/>
      <c r="E177" s="40"/>
      <c r="F177" s="40"/>
      <c r="G177" s="40"/>
    </row>
    <row r="178" spans="3:7" s="32" customFormat="1" x14ac:dyDescent="0.25">
      <c r="C178" s="40"/>
      <c r="D178" s="40"/>
      <c r="E178" s="40"/>
      <c r="F178" s="40"/>
      <c r="G178" s="40"/>
    </row>
    <row r="179" spans="3:7" s="32" customFormat="1" x14ac:dyDescent="0.25">
      <c r="C179" s="40"/>
      <c r="D179" s="40"/>
      <c r="E179" s="40"/>
      <c r="F179" s="40"/>
      <c r="G179" s="40"/>
    </row>
    <row r="180" spans="3:7" s="32" customFormat="1" x14ac:dyDescent="0.25">
      <c r="C180" s="40"/>
      <c r="D180" s="40"/>
      <c r="E180" s="40"/>
      <c r="F180" s="40"/>
      <c r="G180" s="40"/>
    </row>
    <row r="181" spans="3:7" s="32" customFormat="1" x14ac:dyDescent="0.25">
      <c r="C181" s="40"/>
      <c r="D181" s="40"/>
      <c r="E181" s="40"/>
      <c r="F181" s="40"/>
      <c r="G181" s="40"/>
    </row>
    <row r="182" spans="3:7" s="32" customFormat="1" x14ac:dyDescent="0.25">
      <c r="C182" s="40"/>
      <c r="D182" s="40"/>
      <c r="E182" s="40"/>
      <c r="F182" s="40"/>
      <c r="G182" s="40"/>
    </row>
    <row r="183" spans="3:7" s="32" customFormat="1" x14ac:dyDescent="0.25">
      <c r="C183" s="40"/>
      <c r="D183" s="40"/>
      <c r="E183" s="40"/>
      <c r="F183" s="40"/>
      <c r="G183" s="40"/>
    </row>
    <row r="184" spans="3:7" s="32" customFormat="1" x14ac:dyDescent="0.25">
      <c r="C184" s="40"/>
      <c r="D184" s="40"/>
      <c r="E184" s="40"/>
      <c r="F184" s="40"/>
      <c r="G184" s="40"/>
    </row>
    <row r="185" spans="3:7" s="32" customFormat="1" x14ac:dyDescent="0.25">
      <c r="C185" s="40"/>
      <c r="D185" s="40"/>
      <c r="E185" s="40"/>
      <c r="F185" s="40"/>
      <c r="G185" s="40"/>
    </row>
    <row r="186" spans="3:7" s="32" customFormat="1" x14ac:dyDescent="0.25">
      <c r="C186" s="40"/>
      <c r="D186" s="40"/>
      <c r="E186" s="40"/>
      <c r="F186" s="40"/>
      <c r="G186" s="40"/>
    </row>
    <row r="187" spans="3:7" s="32" customFormat="1" x14ac:dyDescent="0.25">
      <c r="C187" s="40"/>
      <c r="D187" s="40"/>
      <c r="E187" s="40"/>
      <c r="F187" s="40"/>
      <c r="G187" s="40"/>
    </row>
    <row r="188" spans="3:7" s="32" customFormat="1" x14ac:dyDescent="0.25">
      <c r="C188" s="40"/>
      <c r="D188" s="40"/>
      <c r="E188" s="40"/>
      <c r="F188" s="40"/>
      <c r="G188" s="40"/>
    </row>
    <row r="189" spans="3:7" s="32" customFormat="1" x14ac:dyDescent="0.25">
      <c r="C189" s="40"/>
      <c r="D189" s="40"/>
      <c r="E189" s="40"/>
      <c r="F189" s="40"/>
      <c r="G189" s="40"/>
    </row>
    <row r="190" spans="3:7" s="32" customFormat="1" x14ac:dyDescent="0.25">
      <c r="C190" s="40"/>
      <c r="D190" s="40"/>
      <c r="E190" s="40"/>
      <c r="F190" s="40"/>
      <c r="G190" s="40"/>
    </row>
    <row r="191" spans="3:7" s="32" customFormat="1" x14ac:dyDescent="0.25">
      <c r="C191" s="40"/>
      <c r="D191" s="40"/>
      <c r="E191" s="40"/>
      <c r="F191" s="40"/>
      <c r="G191" s="40"/>
    </row>
    <row r="192" spans="3:7" s="32" customFormat="1" x14ac:dyDescent="0.25">
      <c r="C192" s="40"/>
      <c r="D192" s="40"/>
      <c r="E192" s="40"/>
      <c r="F192" s="40"/>
      <c r="G192" s="40"/>
    </row>
    <row r="193" spans="1:42" s="32" customFormat="1" x14ac:dyDescent="0.25">
      <c r="C193" s="40"/>
      <c r="D193" s="40"/>
      <c r="E193" s="40"/>
      <c r="F193" s="40"/>
      <c r="G193" s="40"/>
    </row>
    <row r="194" spans="1:42" s="32" customFormat="1" x14ac:dyDescent="0.25">
      <c r="C194" s="40"/>
      <c r="D194" s="40"/>
      <c r="E194" s="40"/>
      <c r="F194" s="40"/>
      <c r="G194" s="40"/>
    </row>
    <row r="195" spans="1:42" s="32" customFormat="1" x14ac:dyDescent="0.25">
      <c r="C195" s="40"/>
      <c r="D195" s="40"/>
      <c r="E195" s="40"/>
      <c r="F195" s="40"/>
      <c r="G195" s="40"/>
    </row>
    <row r="196" spans="1:42" s="32" customFormat="1" x14ac:dyDescent="0.25">
      <c r="C196" s="40"/>
      <c r="D196" s="40"/>
      <c r="E196" s="40"/>
      <c r="F196" s="40"/>
      <c r="G196" s="40"/>
    </row>
    <row r="197" spans="1:42" s="32" customFormat="1" x14ac:dyDescent="0.25">
      <c r="C197" s="40"/>
      <c r="D197" s="40"/>
      <c r="E197" s="40"/>
      <c r="F197" s="40"/>
      <c r="G197" s="40"/>
    </row>
    <row r="198" spans="1:42" s="32" customFormat="1" x14ac:dyDescent="0.25">
      <c r="C198" s="40"/>
      <c r="D198" s="40"/>
      <c r="E198" s="40"/>
      <c r="F198" s="40"/>
      <c r="G198" s="40"/>
    </row>
    <row r="199" spans="1:42" s="32" customFormat="1" x14ac:dyDescent="0.25">
      <c r="C199" s="40"/>
      <c r="D199" s="40"/>
      <c r="E199" s="40"/>
      <c r="F199" s="40"/>
      <c r="G199" s="40"/>
    </row>
    <row r="200" spans="1:42" s="32" customFormat="1" x14ac:dyDescent="0.25">
      <c r="C200" s="40"/>
      <c r="D200" s="40"/>
      <c r="E200" s="40"/>
      <c r="F200" s="40"/>
      <c r="G200" s="40"/>
    </row>
    <row r="201" spans="1:42" s="32" customFormat="1" x14ac:dyDescent="0.25">
      <c r="C201" s="40"/>
      <c r="D201" s="40"/>
      <c r="E201" s="40"/>
      <c r="F201" s="40"/>
      <c r="G201" s="40"/>
    </row>
    <row r="202" spans="1:42" s="32" customFormat="1" x14ac:dyDescent="0.25">
      <c r="C202" s="40"/>
      <c r="D202" s="40"/>
      <c r="E202" s="40"/>
      <c r="F202" s="40"/>
      <c r="G202" s="40"/>
    </row>
    <row r="203" spans="1:42" s="32" customFormat="1" x14ac:dyDescent="0.25">
      <c r="C203" s="40"/>
      <c r="D203" s="40"/>
      <c r="E203" s="40"/>
      <c r="F203" s="40"/>
      <c r="G203" s="40"/>
    </row>
    <row r="204" spans="1:42" s="32" customFormat="1" x14ac:dyDescent="0.25">
      <c r="C204" s="40"/>
      <c r="D204" s="40"/>
      <c r="E204" s="40"/>
      <c r="F204" s="40"/>
      <c r="G204" s="40"/>
    </row>
    <row r="205" spans="1:42" x14ac:dyDescent="0.25">
      <c r="A205" s="7" t="s">
        <v>35</v>
      </c>
      <c r="B205" s="18">
        <f>$A$37*-20</f>
        <v>-0.1</v>
      </c>
      <c r="C205" s="18">
        <f>$A$37*-19</f>
        <v>-9.5000000000000001E-2</v>
      </c>
      <c r="D205" s="18">
        <f>$A$37*-18</f>
        <v>-0.09</v>
      </c>
      <c r="E205" s="18">
        <f>$A$37*-17</f>
        <v>-8.5000000000000006E-2</v>
      </c>
      <c r="F205" s="18">
        <f>$A$37*-16</f>
        <v>-0.08</v>
      </c>
      <c r="G205" s="18">
        <f>$A$37*-15</f>
        <v>-7.4999999999999997E-2</v>
      </c>
      <c r="H205" s="57">
        <f>$A$37*-14</f>
        <v>-7.0000000000000007E-2</v>
      </c>
      <c r="I205" s="57">
        <f>$A$37*-13</f>
        <v>-6.5000000000000002E-2</v>
      </c>
      <c r="J205" s="57">
        <f>$A$37*-12</f>
        <v>-0.06</v>
      </c>
      <c r="K205" s="57">
        <f>$A$37*-11</f>
        <v>-5.5E-2</v>
      </c>
      <c r="L205" s="57">
        <f>$A$37*-10</f>
        <v>-0.05</v>
      </c>
      <c r="M205" s="57">
        <f>$A$37*-9</f>
        <v>-4.4999999999999998E-2</v>
      </c>
      <c r="N205" s="57">
        <f>$A$37*-8</f>
        <v>-0.04</v>
      </c>
      <c r="O205" s="57">
        <f>$A$37*-7</f>
        <v>-3.5000000000000003E-2</v>
      </c>
      <c r="P205" s="57">
        <f>$A$37*-6</f>
        <v>-0.03</v>
      </c>
      <c r="Q205" s="57">
        <f>$A$37*-5</f>
        <v>-2.5000000000000001E-2</v>
      </c>
      <c r="R205" s="57">
        <f>$A$37*-4</f>
        <v>-0.02</v>
      </c>
      <c r="S205" s="57">
        <f>$A$37*-3</f>
        <v>-1.4999999999999999E-2</v>
      </c>
      <c r="T205" s="57">
        <f>$A$37*-2</f>
        <v>-0.01</v>
      </c>
      <c r="U205" s="57">
        <f>$A$37*-1</f>
        <v>-5.0000000000000001E-3</v>
      </c>
      <c r="V205" s="58">
        <v>0</v>
      </c>
      <c r="W205" s="59">
        <f>$A$37*1</f>
        <v>5.0000000000000001E-3</v>
      </c>
      <c r="X205" s="59">
        <f>$A$37*2</f>
        <v>0.01</v>
      </c>
      <c r="Y205" s="59">
        <f>$A$37*3</f>
        <v>1.4999999999999999E-2</v>
      </c>
      <c r="Z205" s="59">
        <f>$A$37*4</f>
        <v>0.02</v>
      </c>
      <c r="AA205" s="59">
        <f>$A$37*5</f>
        <v>2.5000000000000001E-2</v>
      </c>
      <c r="AB205" s="59">
        <f>$A$37*6</f>
        <v>0.03</v>
      </c>
      <c r="AC205" s="59">
        <f>$A$37*7</f>
        <v>3.5000000000000003E-2</v>
      </c>
      <c r="AD205" s="59">
        <f>$A$37*8</f>
        <v>0.04</v>
      </c>
      <c r="AE205" s="59">
        <f>$A$37*9</f>
        <v>4.4999999999999998E-2</v>
      </c>
      <c r="AF205" s="59">
        <f>$A$37*10</f>
        <v>0.05</v>
      </c>
      <c r="AG205" s="59">
        <f>$A$37*11</f>
        <v>5.5E-2</v>
      </c>
      <c r="AH205" s="59">
        <f>$A$37*12</f>
        <v>0.06</v>
      </c>
      <c r="AI205" s="59">
        <f>$A$37*13</f>
        <v>6.5000000000000002E-2</v>
      </c>
      <c r="AJ205" s="59">
        <f>$A$37*14</f>
        <v>7.0000000000000007E-2</v>
      </c>
      <c r="AK205" s="59">
        <f>$A$37*15</f>
        <v>7.4999999999999997E-2</v>
      </c>
      <c r="AL205" s="59">
        <f>$A$37*16</f>
        <v>0.08</v>
      </c>
      <c r="AM205" s="59">
        <f>$A$37*17</f>
        <v>8.5000000000000006E-2</v>
      </c>
      <c r="AN205" s="59">
        <f>$A$37*18</f>
        <v>0.09</v>
      </c>
      <c r="AO205" s="59">
        <f>$A$37*19</f>
        <v>9.5000000000000001E-2</v>
      </c>
      <c r="AP205" s="59">
        <f>$A$37*20</f>
        <v>0.1</v>
      </c>
    </row>
    <row r="206" spans="1:42" x14ac:dyDescent="0.25">
      <c r="B206" s="19">
        <f t="shared" ref="B206:K206" si="0">$V$206*(1+B205)</f>
        <v>1710</v>
      </c>
      <c r="C206" s="19">
        <f t="shared" si="0"/>
        <v>1719.5</v>
      </c>
      <c r="D206" s="19">
        <f t="shared" si="0"/>
        <v>1729</v>
      </c>
      <c r="E206" s="19">
        <f t="shared" si="0"/>
        <v>1738.5</v>
      </c>
      <c r="F206" s="19">
        <f t="shared" si="0"/>
        <v>1748</v>
      </c>
      <c r="G206" s="19">
        <f t="shared" si="0"/>
        <v>1757.5</v>
      </c>
      <c r="H206" s="60">
        <f t="shared" si="0"/>
        <v>1766.9999999999998</v>
      </c>
      <c r="I206" s="60">
        <f t="shared" si="0"/>
        <v>1776.5</v>
      </c>
      <c r="J206" s="60">
        <f t="shared" si="0"/>
        <v>1786</v>
      </c>
      <c r="K206" s="60">
        <f t="shared" si="0"/>
        <v>1795.5</v>
      </c>
      <c r="L206" s="60">
        <f t="shared" ref="L206:U206" si="1">$V$206*(1+L205)</f>
        <v>1805</v>
      </c>
      <c r="M206" s="60">
        <f t="shared" si="1"/>
        <v>1814.5</v>
      </c>
      <c r="N206" s="60">
        <f t="shared" si="1"/>
        <v>1824</v>
      </c>
      <c r="O206" s="60">
        <f t="shared" si="1"/>
        <v>1833.5</v>
      </c>
      <c r="P206" s="60">
        <f t="shared" si="1"/>
        <v>1843</v>
      </c>
      <c r="Q206" s="60">
        <f t="shared" si="1"/>
        <v>1852.5</v>
      </c>
      <c r="R206" s="60">
        <f t="shared" si="1"/>
        <v>1862</v>
      </c>
      <c r="S206" s="60">
        <f t="shared" si="1"/>
        <v>1871.5</v>
      </c>
      <c r="T206" s="60">
        <f t="shared" si="1"/>
        <v>1881</v>
      </c>
      <c r="U206" s="60">
        <f t="shared" si="1"/>
        <v>1890.5</v>
      </c>
      <c r="V206" s="32">
        <f>$C$10</f>
        <v>1900</v>
      </c>
      <c r="W206" s="60">
        <f t="shared" ref="W206:AF206" si="2">$V$206*(1+W205)</f>
        <v>1909.4999999999998</v>
      </c>
      <c r="X206" s="60">
        <f t="shared" si="2"/>
        <v>1919</v>
      </c>
      <c r="Y206" s="60">
        <f t="shared" si="2"/>
        <v>1928.4999999999998</v>
      </c>
      <c r="Z206" s="60">
        <f t="shared" si="2"/>
        <v>1938</v>
      </c>
      <c r="AA206" s="60">
        <f t="shared" si="2"/>
        <v>1947.4999999999998</v>
      </c>
      <c r="AB206" s="60">
        <f t="shared" si="2"/>
        <v>1957</v>
      </c>
      <c r="AC206" s="60">
        <f t="shared" si="2"/>
        <v>1966.4999999999998</v>
      </c>
      <c r="AD206" s="60">
        <f t="shared" si="2"/>
        <v>1976</v>
      </c>
      <c r="AE206" s="60">
        <f t="shared" si="2"/>
        <v>1985.4999999999998</v>
      </c>
      <c r="AF206" s="60">
        <f t="shared" si="2"/>
        <v>1995</v>
      </c>
      <c r="AG206" s="60">
        <f t="shared" ref="AG206:AP206" si="3">$V$206*(1+AG205)</f>
        <v>2004.4999999999998</v>
      </c>
      <c r="AH206" s="60">
        <f t="shared" si="3"/>
        <v>2014</v>
      </c>
      <c r="AI206" s="60">
        <f t="shared" si="3"/>
        <v>2023.5</v>
      </c>
      <c r="AJ206" s="60">
        <f t="shared" si="3"/>
        <v>2033.0000000000002</v>
      </c>
      <c r="AK206" s="60">
        <f t="shared" si="3"/>
        <v>2042.5</v>
      </c>
      <c r="AL206" s="60">
        <f t="shared" si="3"/>
        <v>2052</v>
      </c>
      <c r="AM206" s="60">
        <f t="shared" si="3"/>
        <v>2061.5</v>
      </c>
      <c r="AN206" s="60">
        <f t="shared" si="3"/>
        <v>2071</v>
      </c>
      <c r="AO206" s="60">
        <f t="shared" si="3"/>
        <v>2080.5</v>
      </c>
      <c r="AP206" s="60">
        <f t="shared" si="3"/>
        <v>2090</v>
      </c>
    </row>
    <row r="207" spans="1:42" x14ac:dyDescent="0.25">
      <c r="A207" t="s">
        <v>27</v>
      </c>
      <c r="B207" s="20">
        <f>(bs($C$9,B206,$C$11,$C$12,$C$13,$C$14,$C$15)-$C$18)*$C$5*$C$6/$A$2</f>
        <v>-1.6206358779265753E-2</v>
      </c>
      <c r="C207" s="20">
        <f t="shared" ref="C207:AP207" si="4">(bs($C$9,C206,$C$11,$C$12,$C$13,$C$14,$C$15)-$C$18)*$C$5*$C$6/$A$2</f>
        <v>-1.6163238925599881E-2</v>
      </c>
      <c r="D207" s="20">
        <f t="shared" si="4"/>
        <v>-1.6102725602100791E-2</v>
      </c>
      <c r="E207" s="20">
        <f t="shared" si="4"/>
        <v>-1.6019195969409258E-2</v>
      </c>
      <c r="F207" s="20">
        <f t="shared" si="4"/>
        <v>-1.5905745451173459E-2</v>
      </c>
      <c r="G207" s="20">
        <f t="shared" si="4"/>
        <v>-1.5754071990622662E-2</v>
      </c>
      <c r="H207" s="20">
        <f t="shared" si="4"/>
        <v>-1.5554402652083878E-2</v>
      </c>
      <c r="I207" s="20">
        <f t="shared" si="4"/>
        <v>-1.5295477515516111E-2</v>
      </c>
      <c r="J207" s="20">
        <f t="shared" si="4"/>
        <v>-1.496460424662591E-2</v>
      </c>
      <c r="K207" s="20">
        <f t="shared" si="4"/>
        <v>-1.4547793532724769E-2</v>
      </c>
      <c r="L207" s="20">
        <f t="shared" si="4"/>
        <v>-1.4029980831601363E-2</v>
      </c>
      <c r="M207" s="20">
        <f t="shared" si="4"/>
        <v>-1.3395333874130586E-2</v>
      </c>
      <c r="N207" s="20">
        <f t="shared" si="4"/>
        <v>-1.2627638576841294E-2</v>
      </c>
      <c r="O207" s="20">
        <f t="shared" si="4"/>
        <v>-1.1710749098902993E-2</v>
      </c>
      <c r="P207" s="20">
        <f t="shared" si="4"/>
        <v>-1.0629081442461769E-2</v>
      </c>
      <c r="Q207" s="20">
        <f t="shared" si="4"/>
        <v>-9.3681249613552491E-3</v>
      </c>
      <c r="R207" s="20">
        <f t="shared" si="4"/>
        <v>-7.9149430222823294E-3</v>
      </c>
      <c r="S207" s="20">
        <f t="shared" si="4"/>
        <v>-6.258633275753993E-3</v>
      </c>
      <c r="T207" s="20">
        <f t="shared" si="4"/>
        <v>-4.3907197110265774E-3</v>
      </c>
      <c r="U207" s="20">
        <f t="shared" si="4"/>
        <v>-2.3054527798078654E-3</v>
      </c>
      <c r="V207" s="20">
        <f t="shared" si="4"/>
        <v>0</v>
      </c>
      <c r="W207" s="20">
        <f t="shared" si="4"/>
        <v>2.5254830043999164E-3</v>
      </c>
      <c r="X207" s="20">
        <f t="shared" si="4"/>
        <v>5.2679028477854795E-3</v>
      </c>
      <c r="Y207" s="20">
        <f t="shared" si="4"/>
        <v>8.2213938191948166E-3</v>
      </c>
      <c r="Z207" s="20">
        <f t="shared" si="4"/>
        <v>1.1377584856173998E-2</v>
      </c>
      <c r="AA207" s="20">
        <f t="shared" si="4"/>
        <v>1.4725948702417611E-2</v>
      </c>
      <c r="AB207" s="20">
        <f t="shared" si="4"/>
        <v>1.8254209975310062E-2</v>
      </c>
      <c r="AC207" s="20">
        <f t="shared" si="4"/>
        <v>2.1948787022661859E-2</v>
      </c>
      <c r="AD207" s="20">
        <f t="shared" si="4"/>
        <v>2.5795242643042397E-2</v>
      </c>
      <c r="AE207" s="20">
        <f t="shared" si="4"/>
        <v>2.9778720752198579E-2</v>
      </c>
      <c r="AF207" s="20">
        <f t="shared" si="4"/>
        <v>3.3884349520541202E-2</v>
      </c>
      <c r="AG207" s="20">
        <f t="shared" si="4"/>
        <v>3.809759591530229E-2</v>
      </c>
      <c r="AH207" s="20">
        <f t="shared" si="4"/>
        <v>4.2404561460069032E-2</v>
      </c>
      <c r="AI207" s="20">
        <f t="shared" si="4"/>
        <v>4.679221390709034E-2</v>
      </c>
      <c r="AJ207" s="20">
        <f t="shared" si="4"/>
        <v>5.1248554010067039E-2</v>
      </c>
      <c r="AK207" s="20">
        <f t="shared" si="4"/>
        <v>5.5762720394098943E-2</v>
      </c>
      <c r="AL207" s="20">
        <f t="shared" si="4"/>
        <v>6.0325038465152893E-2</v>
      </c>
      <c r="AM207" s="20">
        <f t="shared" si="4"/>
        <v>6.4927021313806621E-2</v>
      </c>
      <c r="AN207" s="20">
        <f t="shared" si="4"/>
        <v>6.9561331672660404E-2</v>
      </c>
      <c r="AO207" s="20">
        <f t="shared" si="4"/>
        <v>7.4221714282766402E-2</v>
      </c>
      <c r="AP207" s="20">
        <f t="shared" si="4"/>
        <v>7.8902907659219007E-2</v>
      </c>
    </row>
    <row r="208" spans="1:42" x14ac:dyDescent="0.25">
      <c r="A208" t="s">
        <v>28</v>
      </c>
      <c r="B208" s="20">
        <f>(bs($D$9,B206,$D$11,$D$12,$D$13,$D$14,$D$15)-$D$18)*$D$5*$D$6/$A$2</f>
        <v>0</v>
      </c>
      <c r="C208" s="20">
        <f t="shared" ref="C208:AP208" si="5">(bs($D$9,C206,$D$11,$D$12,$D$13,$D$14,$D$15)-$D$18)*$D$5*$D$6/$A$2</f>
        <v>0</v>
      </c>
      <c r="D208" s="20">
        <f t="shared" si="5"/>
        <v>0</v>
      </c>
      <c r="E208" s="20">
        <f t="shared" si="5"/>
        <v>0</v>
      </c>
      <c r="F208" s="20">
        <f t="shared" si="5"/>
        <v>0</v>
      </c>
      <c r="G208" s="20">
        <f t="shared" si="5"/>
        <v>0</v>
      </c>
      <c r="H208" s="20">
        <f t="shared" si="5"/>
        <v>0</v>
      </c>
      <c r="I208" s="20">
        <f t="shared" si="5"/>
        <v>0</v>
      </c>
      <c r="J208" s="20">
        <f t="shared" si="5"/>
        <v>0</v>
      </c>
      <c r="K208" s="20">
        <f t="shared" si="5"/>
        <v>0</v>
      </c>
      <c r="L208" s="20">
        <f t="shared" si="5"/>
        <v>0</v>
      </c>
      <c r="M208" s="20">
        <f t="shared" si="5"/>
        <v>0</v>
      </c>
      <c r="N208" s="20">
        <f t="shared" si="5"/>
        <v>0</v>
      </c>
      <c r="O208" s="20">
        <f t="shared" si="5"/>
        <v>0</v>
      </c>
      <c r="P208" s="20">
        <f t="shared" si="5"/>
        <v>0</v>
      </c>
      <c r="Q208" s="20">
        <f t="shared" si="5"/>
        <v>0</v>
      </c>
      <c r="R208" s="20">
        <f t="shared" si="5"/>
        <v>0</v>
      </c>
      <c r="S208" s="20">
        <f t="shared" si="5"/>
        <v>0</v>
      </c>
      <c r="T208" s="20">
        <f t="shared" si="5"/>
        <v>0</v>
      </c>
      <c r="U208" s="20">
        <f t="shared" si="5"/>
        <v>0</v>
      </c>
      <c r="V208" s="20">
        <f t="shared" si="5"/>
        <v>0</v>
      </c>
      <c r="W208" s="20">
        <f t="shared" si="5"/>
        <v>0</v>
      </c>
      <c r="X208" s="20">
        <f t="shared" si="5"/>
        <v>0</v>
      </c>
      <c r="Y208" s="20">
        <f t="shared" si="5"/>
        <v>0</v>
      </c>
      <c r="Z208" s="20">
        <f t="shared" si="5"/>
        <v>0</v>
      </c>
      <c r="AA208" s="20">
        <f t="shared" si="5"/>
        <v>0</v>
      </c>
      <c r="AB208" s="20">
        <f t="shared" si="5"/>
        <v>0</v>
      </c>
      <c r="AC208" s="20">
        <f t="shared" si="5"/>
        <v>0</v>
      </c>
      <c r="AD208" s="20">
        <f t="shared" si="5"/>
        <v>0</v>
      </c>
      <c r="AE208" s="20">
        <f t="shared" si="5"/>
        <v>0</v>
      </c>
      <c r="AF208" s="20">
        <f t="shared" si="5"/>
        <v>0</v>
      </c>
      <c r="AG208" s="20">
        <f t="shared" si="5"/>
        <v>0</v>
      </c>
      <c r="AH208" s="20">
        <f t="shared" si="5"/>
        <v>0</v>
      </c>
      <c r="AI208" s="20">
        <f t="shared" si="5"/>
        <v>0</v>
      </c>
      <c r="AJ208" s="20">
        <f t="shared" si="5"/>
        <v>0</v>
      </c>
      <c r="AK208" s="20">
        <f t="shared" si="5"/>
        <v>0</v>
      </c>
      <c r="AL208" s="20">
        <f t="shared" si="5"/>
        <v>0</v>
      </c>
      <c r="AM208" s="20">
        <f t="shared" si="5"/>
        <v>0</v>
      </c>
      <c r="AN208" s="20">
        <f t="shared" si="5"/>
        <v>0</v>
      </c>
      <c r="AO208" s="20">
        <f t="shared" si="5"/>
        <v>0</v>
      </c>
      <c r="AP208" s="20">
        <f t="shared" si="5"/>
        <v>0</v>
      </c>
    </row>
    <row r="209" spans="1:42" x14ac:dyDescent="0.25">
      <c r="A209" t="s">
        <v>29</v>
      </c>
      <c r="B209" s="20">
        <f>(bs($E$9,B206,$E$11,$E$12,$E$13,$E$14,$E$15)-$E$18)*$E$5*$E$6/$A$2</f>
        <v>0</v>
      </c>
      <c r="C209" s="20">
        <f t="shared" ref="C209:AP209" si="6">(bs($E$9,C206,$E$11,$E$12,$E$13,$E$14,$E$15)-$E$18)*$E$5*$E$6/$A$2</f>
        <v>0</v>
      </c>
      <c r="D209" s="20">
        <f t="shared" si="6"/>
        <v>0</v>
      </c>
      <c r="E209" s="20">
        <f t="shared" si="6"/>
        <v>0</v>
      </c>
      <c r="F209" s="20">
        <f t="shared" si="6"/>
        <v>0</v>
      </c>
      <c r="G209" s="20">
        <f t="shared" si="6"/>
        <v>0</v>
      </c>
      <c r="H209" s="20">
        <f t="shared" si="6"/>
        <v>0</v>
      </c>
      <c r="I209" s="20">
        <f t="shared" si="6"/>
        <v>0</v>
      </c>
      <c r="J209" s="20">
        <f t="shared" si="6"/>
        <v>0</v>
      </c>
      <c r="K209" s="20">
        <f t="shared" si="6"/>
        <v>0</v>
      </c>
      <c r="L209" s="20">
        <f t="shared" si="6"/>
        <v>0</v>
      </c>
      <c r="M209" s="20">
        <f t="shared" si="6"/>
        <v>0</v>
      </c>
      <c r="N209" s="20">
        <f t="shared" si="6"/>
        <v>0</v>
      </c>
      <c r="O209" s="20">
        <f t="shared" si="6"/>
        <v>0</v>
      </c>
      <c r="P209" s="20">
        <f t="shared" si="6"/>
        <v>0</v>
      </c>
      <c r="Q209" s="20">
        <f t="shared" si="6"/>
        <v>0</v>
      </c>
      <c r="R209" s="20">
        <f t="shared" si="6"/>
        <v>0</v>
      </c>
      <c r="S209" s="20">
        <f t="shared" si="6"/>
        <v>0</v>
      </c>
      <c r="T209" s="20">
        <f t="shared" si="6"/>
        <v>0</v>
      </c>
      <c r="U209" s="20">
        <f t="shared" si="6"/>
        <v>0</v>
      </c>
      <c r="V209" s="20">
        <f t="shared" si="6"/>
        <v>0</v>
      </c>
      <c r="W209" s="20">
        <f t="shared" si="6"/>
        <v>0</v>
      </c>
      <c r="X209" s="20">
        <f t="shared" si="6"/>
        <v>0</v>
      </c>
      <c r="Y209" s="20">
        <f t="shared" si="6"/>
        <v>0</v>
      </c>
      <c r="Z209" s="20">
        <f t="shared" si="6"/>
        <v>0</v>
      </c>
      <c r="AA209" s="20">
        <f t="shared" si="6"/>
        <v>0</v>
      </c>
      <c r="AB209" s="20">
        <f t="shared" si="6"/>
        <v>0</v>
      </c>
      <c r="AC209" s="20">
        <f t="shared" si="6"/>
        <v>0</v>
      </c>
      <c r="AD209" s="20">
        <f t="shared" si="6"/>
        <v>0</v>
      </c>
      <c r="AE209" s="20">
        <f t="shared" si="6"/>
        <v>0</v>
      </c>
      <c r="AF209" s="20">
        <f t="shared" si="6"/>
        <v>0</v>
      </c>
      <c r="AG209" s="20">
        <f t="shared" si="6"/>
        <v>0</v>
      </c>
      <c r="AH209" s="20">
        <f t="shared" si="6"/>
        <v>0</v>
      </c>
      <c r="AI209" s="20">
        <f t="shared" si="6"/>
        <v>0</v>
      </c>
      <c r="AJ209" s="20">
        <f t="shared" si="6"/>
        <v>0</v>
      </c>
      <c r="AK209" s="20">
        <f t="shared" si="6"/>
        <v>0</v>
      </c>
      <c r="AL209" s="20">
        <f t="shared" si="6"/>
        <v>0</v>
      </c>
      <c r="AM209" s="20">
        <f t="shared" si="6"/>
        <v>0</v>
      </c>
      <c r="AN209" s="20">
        <f t="shared" si="6"/>
        <v>0</v>
      </c>
      <c r="AO209" s="20">
        <f t="shared" si="6"/>
        <v>0</v>
      </c>
      <c r="AP209" s="20">
        <f t="shared" si="6"/>
        <v>0</v>
      </c>
    </row>
    <row r="210" spans="1:42" x14ac:dyDescent="0.25">
      <c r="A210" t="s">
        <v>30</v>
      </c>
      <c r="B210" s="20">
        <f>(bs($F$9,B206,$F$11,$F$12,$F$13,$F$14,$F$15)-$F$18)*$F$5*$F$6/$A$2</f>
        <v>0</v>
      </c>
      <c r="C210" s="20">
        <f t="shared" ref="C210:AP210" si="7">(bs($F$9,C206,$F$11,$F$12,$F$13,$F$14,$F$15)-$F$18)*$F$5*$F$6/$A$2</f>
        <v>0</v>
      </c>
      <c r="D210" s="20">
        <f t="shared" si="7"/>
        <v>0</v>
      </c>
      <c r="E210" s="20">
        <f t="shared" si="7"/>
        <v>0</v>
      </c>
      <c r="F210" s="20">
        <f t="shared" si="7"/>
        <v>0</v>
      </c>
      <c r="G210" s="20">
        <f t="shared" si="7"/>
        <v>0</v>
      </c>
      <c r="H210" s="20">
        <f t="shared" si="7"/>
        <v>0</v>
      </c>
      <c r="I210" s="20">
        <f t="shared" si="7"/>
        <v>0</v>
      </c>
      <c r="J210" s="20">
        <f t="shared" si="7"/>
        <v>0</v>
      </c>
      <c r="K210" s="20">
        <f t="shared" si="7"/>
        <v>0</v>
      </c>
      <c r="L210" s="20">
        <f t="shared" si="7"/>
        <v>0</v>
      </c>
      <c r="M210" s="20">
        <f t="shared" si="7"/>
        <v>0</v>
      </c>
      <c r="N210" s="20">
        <f t="shared" si="7"/>
        <v>0</v>
      </c>
      <c r="O210" s="20">
        <f t="shared" si="7"/>
        <v>0</v>
      </c>
      <c r="P210" s="20">
        <f t="shared" si="7"/>
        <v>0</v>
      </c>
      <c r="Q210" s="20">
        <f t="shared" si="7"/>
        <v>0</v>
      </c>
      <c r="R210" s="20">
        <f t="shared" si="7"/>
        <v>0</v>
      </c>
      <c r="S210" s="20">
        <f t="shared" si="7"/>
        <v>0</v>
      </c>
      <c r="T210" s="20">
        <f t="shared" si="7"/>
        <v>0</v>
      </c>
      <c r="U210" s="20">
        <f t="shared" si="7"/>
        <v>0</v>
      </c>
      <c r="V210" s="20">
        <f t="shared" si="7"/>
        <v>0</v>
      </c>
      <c r="W210" s="20">
        <f t="shared" si="7"/>
        <v>0</v>
      </c>
      <c r="X210" s="20">
        <f t="shared" si="7"/>
        <v>0</v>
      </c>
      <c r="Y210" s="20">
        <f t="shared" si="7"/>
        <v>0</v>
      </c>
      <c r="Z210" s="20">
        <f t="shared" si="7"/>
        <v>0</v>
      </c>
      <c r="AA210" s="20">
        <f t="shared" si="7"/>
        <v>0</v>
      </c>
      <c r="AB210" s="20">
        <f t="shared" si="7"/>
        <v>0</v>
      </c>
      <c r="AC210" s="20">
        <f t="shared" si="7"/>
        <v>0</v>
      </c>
      <c r="AD210" s="20">
        <f t="shared" si="7"/>
        <v>0</v>
      </c>
      <c r="AE210" s="20">
        <f t="shared" si="7"/>
        <v>0</v>
      </c>
      <c r="AF210" s="20">
        <f t="shared" si="7"/>
        <v>0</v>
      </c>
      <c r="AG210" s="20">
        <f t="shared" si="7"/>
        <v>0</v>
      </c>
      <c r="AH210" s="20">
        <f t="shared" si="7"/>
        <v>0</v>
      </c>
      <c r="AI210" s="20">
        <f t="shared" si="7"/>
        <v>0</v>
      </c>
      <c r="AJ210" s="20">
        <f t="shared" si="7"/>
        <v>0</v>
      </c>
      <c r="AK210" s="20">
        <f t="shared" si="7"/>
        <v>0</v>
      </c>
      <c r="AL210" s="20">
        <f t="shared" si="7"/>
        <v>0</v>
      </c>
      <c r="AM210" s="20">
        <f t="shared" si="7"/>
        <v>0</v>
      </c>
      <c r="AN210" s="20">
        <f t="shared" si="7"/>
        <v>0</v>
      </c>
      <c r="AO210" s="20">
        <f t="shared" si="7"/>
        <v>0</v>
      </c>
      <c r="AP210" s="20">
        <f t="shared" si="7"/>
        <v>0</v>
      </c>
    </row>
    <row r="211" spans="1:42" x14ac:dyDescent="0.25">
      <c r="A211" t="s">
        <v>6</v>
      </c>
      <c r="B211" s="20">
        <f>$G$6*$G$5*(B206-$C$10)/$A$2</f>
        <v>0</v>
      </c>
      <c r="C211" s="20">
        <f t="shared" ref="C211:AP211" si="8">$G$6*$G$5*(C206-$C$10)/$A$2</f>
        <v>0</v>
      </c>
      <c r="D211" s="20">
        <f t="shared" si="8"/>
        <v>0</v>
      </c>
      <c r="E211" s="20">
        <f t="shared" si="8"/>
        <v>0</v>
      </c>
      <c r="F211" s="20">
        <f t="shared" si="8"/>
        <v>0</v>
      </c>
      <c r="G211" s="20">
        <f t="shared" si="8"/>
        <v>0</v>
      </c>
      <c r="H211" s="20">
        <f t="shared" si="8"/>
        <v>0</v>
      </c>
      <c r="I211" s="20">
        <f t="shared" si="8"/>
        <v>0</v>
      </c>
      <c r="J211" s="20">
        <f t="shared" si="8"/>
        <v>0</v>
      </c>
      <c r="K211" s="20">
        <f t="shared" si="8"/>
        <v>0</v>
      </c>
      <c r="L211" s="20">
        <f t="shared" si="8"/>
        <v>0</v>
      </c>
      <c r="M211" s="20">
        <f t="shared" si="8"/>
        <v>0</v>
      </c>
      <c r="N211" s="20">
        <f t="shared" si="8"/>
        <v>0</v>
      </c>
      <c r="O211" s="20">
        <f t="shared" si="8"/>
        <v>0</v>
      </c>
      <c r="P211" s="20">
        <f t="shared" si="8"/>
        <v>0</v>
      </c>
      <c r="Q211" s="20">
        <f t="shared" si="8"/>
        <v>0</v>
      </c>
      <c r="R211" s="20">
        <f t="shared" si="8"/>
        <v>0</v>
      </c>
      <c r="S211" s="20">
        <f t="shared" si="8"/>
        <v>0</v>
      </c>
      <c r="T211" s="20">
        <f t="shared" si="8"/>
        <v>0</v>
      </c>
      <c r="U211" s="20">
        <f t="shared" si="8"/>
        <v>0</v>
      </c>
      <c r="V211" s="20">
        <f t="shared" si="8"/>
        <v>0</v>
      </c>
      <c r="W211" s="20">
        <f t="shared" si="8"/>
        <v>0</v>
      </c>
      <c r="X211" s="20">
        <f t="shared" si="8"/>
        <v>0</v>
      </c>
      <c r="Y211" s="20">
        <f t="shared" si="8"/>
        <v>0</v>
      </c>
      <c r="Z211" s="20">
        <f t="shared" si="8"/>
        <v>0</v>
      </c>
      <c r="AA211" s="20">
        <f t="shared" si="8"/>
        <v>0</v>
      </c>
      <c r="AB211" s="20">
        <f t="shared" si="8"/>
        <v>0</v>
      </c>
      <c r="AC211" s="20">
        <f t="shared" si="8"/>
        <v>0</v>
      </c>
      <c r="AD211" s="20">
        <f t="shared" si="8"/>
        <v>0</v>
      </c>
      <c r="AE211" s="20">
        <f t="shared" si="8"/>
        <v>0</v>
      </c>
      <c r="AF211" s="20">
        <f t="shared" si="8"/>
        <v>0</v>
      </c>
      <c r="AG211" s="20">
        <f t="shared" si="8"/>
        <v>0</v>
      </c>
      <c r="AH211" s="20">
        <f t="shared" si="8"/>
        <v>0</v>
      </c>
      <c r="AI211" s="20">
        <f t="shared" si="8"/>
        <v>0</v>
      </c>
      <c r="AJ211" s="20">
        <f t="shared" si="8"/>
        <v>0</v>
      </c>
      <c r="AK211" s="20">
        <f t="shared" si="8"/>
        <v>0</v>
      </c>
      <c r="AL211" s="20">
        <f t="shared" si="8"/>
        <v>0</v>
      </c>
      <c r="AM211" s="20">
        <f t="shared" si="8"/>
        <v>0</v>
      </c>
      <c r="AN211" s="20">
        <f t="shared" si="8"/>
        <v>0</v>
      </c>
      <c r="AO211" s="20">
        <f t="shared" si="8"/>
        <v>0</v>
      </c>
      <c r="AP211" s="20">
        <f t="shared" si="8"/>
        <v>0</v>
      </c>
    </row>
    <row r="212" spans="1:42" x14ac:dyDescent="0.25">
      <c r="A212" s="7" t="s">
        <v>32</v>
      </c>
      <c r="B212" s="21">
        <f t="shared" ref="B212:K212" si="9">SUM(B207:B211)</f>
        <v>-1.6206358779265753E-2</v>
      </c>
      <c r="C212" s="21">
        <f t="shared" si="9"/>
        <v>-1.6163238925599881E-2</v>
      </c>
      <c r="D212" s="21">
        <f t="shared" si="9"/>
        <v>-1.6102725602100791E-2</v>
      </c>
      <c r="E212" s="21">
        <f t="shared" si="9"/>
        <v>-1.6019195969409258E-2</v>
      </c>
      <c r="F212" s="21">
        <f t="shared" si="9"/>
        <v>-1.5905745451173459E-2</v>
      </c>
      <c r="G212" s="21">
        <f t="shared" si="9"/>
        <v>-1.5754071990622662E-2</v>
      </c>
      <c r="H212" s="61">
        <f t="shared" si="9"/>
        <v>-1.5554402652083878E-2</v>
      </c>
      <c r="I212" s="61">
        <f t="shared" si="9"/>
        <v>-1.5295477515516111E-2</v>
      </c>
      <c r="J212" s="61">
        <f t="shared" si="9"/>
        <v>-1.496460424662591E-2</v>
      </c>
      <c r="K212" s="61">
        <f t="shared" si="9"/>
        <v>-1.4547793532724769E-2</v>
      </c>
      <c r="L212" s="61">
        <f t="shared" ref="L212:U212" si="10">SUM(L207:L211)</f>
        <v>-1.4029980831601363E-2</v>
      </c>
      <c r="M212" s="61">
        <f t="shared" si="10"/>
        <v>-1.3395333874130586E-2</v>
      </c>
      <c r="N212" s="61">
        <f t="shared" si="10"/>
        <v>-1.2627638576841294E-2</v>
      </c>
      <c r="O212" s="61">
        <f t="shared" si="10"/>
        <v>-1.1710749098902993E-2</v>
      </c>
      <c r="P212" s="61">
        <f t="shared" si="10"/>
        <v>-1.0629081442461769E-2</v>
      </c>
      <c r="Q212" s="61">
        <f t="shared" si="10"/>
        <v>-9.3681249613552491E-3</v>
      </c>
      <c r="R212" s="61">
        <f t="shared" si="10"/>
        <v>-7.9149430222823294E-3</v>
      </c>
      <c r="S212" s="61">
        <f t="shared" si="10"/>
        <v>-6.258633275753993E-3</v>
      </c>
      <c r="T212" s="61">
        <f t="shared" si="10"/>
        <v>-4.3907197110265774E-3</v>
      </c>
      <c r="U212" s="61">
        <f t="shared" si="10"/>
        <v>-2.3054527798078654E-3</v>
      </c>
      <c r="V212" s="61">
        <f t="shared" ref="V212:AF212" si="11">SUM(V207:V211)</f>
        <v>0</v>
      </c>
      <c r="W212" s="61">
        <f t="shared" si="11"/>
        <v>2.5254830043999164E-3</v>
      </c>
      <c r="X212" s="61">
        <f t="shared" si="11"/>
        <v>5.2679028477854795E-3</v>
      </c>
      <c r="Y212" s="61">
        <f t="shared" si="11"/>
        <v>8.2213938191948166E-3</v>
      </c>
      <c r="Z212" s="61">
        <f t="shared" si="11"/>
        <v>1.1377584856173998E-2</v>
      </c>
      <c r="AA212" s="61">
        <f t="shared" si="11"/>
        <v>1.4725948702417611E-2</v>
      </c>
      <c r="AB212" s="61">
        <f t="shared" si="11"/>
        <v>1.8254209975310062E-2</v>
      </c>
      <c r="AC212" s="61">
        <f t="shared" si="11"/>
        <v>2.1948787022661859E-2</v>
      </c>
      <c r="AD212" s="61">
        <f t="shared" si="11"/>
        <v>2.5795242643042397E-2</v>
      </c>
      <c r="AE212" s="61">
        <f t="shared" si="11"/>
        <v>2.9778720752198579E-2</v>
      </c>
      <c r="AF212" s="61">
        <f t="shared" si="11"/>
        <v>3.3884349520541202E-2</v>
      </c>
      <c r="AG212" s="61">
        <f t="shared" ref="AG212:AP212" si="12">SUM(AG207:AG211)</f>
        <v>3.809759591530229E-2</v>
      </c>
      <c r="AH212" s="61">
        <f t="shared" si="12"/>
        <v>4.2404561460069032E-2</v>
      </c>
      <c r="AI212" s="61">
        <f t="shared" si="12"/>
        <v>4.679221390709034E-2</v>
      </c>
      <c r="AJ212" s="61">
        <f t="shared" si="12"/>
        <v>5.1248554010067039E-2</v>
      </c>
      <c r="AK212" s="61">
        <f t="shared" si="12"/>
        <v>5.5762720394098943E-2</v>
      </c>
      <c r="AL212" s="61">
        <f t="shared" si="12"/>
        <v>6.0325038465152893E-2</v>
      </c>
      <c r="AM212" s="61">
        <f t="shared" si="12"/>
        <v>6.4927021313806621E-2</v>
      </c>
      <c r="AN212" s="61">
        <f t="shared" si="12"/>
        <v>6.9561331672660404E-2</v>
      </c>
      <c r="AO212" s="61">
        <f t="shared" si="12"/>
        <v>7.4221714282766402E-2</v>
      </c>
      <c r="AP212" s="61">
        <f t="shared" si="12"/>
        <v>7.8902907659219007E-2</v>
      </c>
    </row>
    <row r="213" spans="1:42" x14ac:dyDescent="0.25">
      <c r="B213" s="19">
        <f t="shared" ref="B213:K213" si="13">B206</f>
        <v>1710</v>
      </c>
      <c r="C213" s="19">
        <f t="shared" si="13"/>
        <v>1719.5</v>
      </c>
      <c r="D213" s="19">
        <f t="shared" si="13"/>
        <v>1729</v>
      </c>
      <c r="E213" s="19">
        <f t="shared" si="13"/>
        <v>1738.5</v>
      </c>
      <c r="F213" s="19">
        <f t="shared" si="13"/>
        <v>1748</v>
      </c>
      <c r="G213" s="19">
        <f t="shared" si="13"/>
        <v>1757.5</v>
      </c>
      <c r="H213" s="60">
        <f t="shared" si="13"/>
        <v>1766.9999999999998</v>
      </c>
      <c r="I213" s="60">
        <f t="shared" si="13"/>
        <v>1776.5</v>
      </c>
      <c r="J213" s="60">
        <f t="shared" si="13"/>
        <v>1786</v>
      </c>
      <c r="K213" s="60">
        <f t="shared" si="13"/>
        <v>1795.5</v>
      </c>
      <c r="L213" s="60">
        <f t="shared" ref="L213:U213" si="14">L206</f>
        <v>1805</v>
      </c>
      <c r="M213" s="60">
        <f t="shared" si="14"/>
        <v>1814.5</v>
      </c>
      <c r="N213" s="60">
        <f t="shared" si="14"/>
        <v>1824</v>
      </c>
      <c r="O213" s="60">
        <f t="shared" si="14"/>
        <v>1833.5</v>
      </c>
      <c r="P213" s="60">
        <f t="shared" si="14"/>
        <v>1843</v>
      </c>
      <c r="Q213" s="60">
        <f t="shared" si="14"/>
        <v>1852.5</v>
      </c>
      <c r="R213" s="60">
        <f t="shared" si="14"/>
        <v>1862</v>
      </c>
      <c r="S213" s="60">
        <f t="shared" si="14"/>
        <v>1871.5</v>
      </c>
      <c r="T213" s="60">
        <f t="shared" si="14"/>
        <v>1881</v>
      </c>
      <c r="U213" s="60">
        <f t="shared" si="14"/>
        <v>1890.5</v>
      </c>
      <c r="V213" s="60">
        <f t="shared" ref="V213:AF213" si="15">V206</f>
        <v>1900</v>
      </c>
      <c r="W213" s="60">
        <f t="shared" si="15"/>
        <v>1909.4999999999998</v>
      </c>
      <c r="X213" s="60">
        <f t="shared" si="15"/>
        <v>1919</v>
      </c>
      <c r="Y213" s="60">
        <f t="shared" si="15"/>
        <v>1928.4999999999998</v>
      </c>
      <c r="Z213" s="60">
        <f t="shared" si="15"/>
        <v>1938</v>
      </c>
      <c r="AA213" s="60">
        <f t="shared" si="15"/>
        <v>1947.4999999999998</v>
      </c>
      <c r="AB213" s="60">
        <f t="shared" si="15"/>
        <v>1957</v>
      </c>
      <c r="AC213" s="60">
        <f t="shared" si="15"/>
        <v>1966.4999999999998</v>
      </c>
      <c r="AD213" s="60">
        <f t="shared" si="15"/>
        <v>1976</v>
      </c>
      <c r="AE213" s="60">
        <f t="shared" si="15"/>
        <v>1985.4999999999998</v>
      </c>
      <c r="AF213" s="60">
        <f t="shared" si="15"/>
        <v>1995</v>
      </c>
      <c r="AG213" s="60">
        <f t="shared" ref="AG213:AP213" si="16">AG206</f>
        <v>2004.4999999999998</v>
      </c>
      <c r="AH213" s="60">
        <f t="shared" si="16"/>
        <v>2014</v>
      </c>
      <c r="AI213" s="60">
        <f t="shared" si="16"/>
        <v>2023.5</v>
      </c>
      <c r="AJ213" s="60">
        <f t="shared" si="16"/>
        <v>2033.0000000000002</v>
      </c>
      <c r="AK213" s="60">
        <f t="shared" si="16"/>
        <v>2042.5</v>
      </c>
      <c r="AL213" s="60">
        <f t="shared" si="16"/>
        <v>2052</v>
      </c>
      <c r="AM213" s="60">
        <f t="shared" si="16"/>
        <v>2061.5</v>
      </c>
      <c r="AN213" s="60">
        <f t="shared" si="16"/>
        <v>2071</v>
      </c>
      <c r="AO213" s="60">
        <f t="shared" si="16"/>
        <v>2080.5</v>
      </c>
      <c r="AP213" s="60">
        <f t="shared" si="16"/>
        <v>2090</v>
      </c>
    </row>
    <row r="214" spans="1:42" x14ac:dyDescent="0.25">
      <c r="A214" t="s">
        <v>27</v>
      </c>
      <c r="B214" s="22">
        <f>(bs($C$9,B213,$C$11,$C$12,$C$13,$C$14-$A$40,$C$15*(1+$A$43))-$C$18)*$C$5*$C$6/$A$2</f>
        <v>-1.6295082995268564E-2</v>
      </c>
      <c r="C214" s="22">
        <f t="shared" ref="C214:AP214" si="17">(bs($C$9,C213,$C$11,$C$12,$C$13,$C$14-$A$40,$C$15*(1+$A$43))-$C$18)*$C$5*$C$6/$A$2</f>
        <v>-1.6293190323411491E-2</v>
      </c>
      <c r="D214" s="22">
        <f t="shared" si="17"/>
        <v>-1.6289600554038268E-2</v>
      </c>
      <c r="E214" s="22">
        <f t="shared" si="17"/>
        <v>-1.6283019532073992E-2</v>
      </c>
      <c r="F214" s="22">
        <f t="shared" si="17"/>
        <v>-1.6271349722514004E-2</v>
      </c>
      <c r="G214" s="22">
        <f t="shared" si="17"/>
        <v>-1.6251319422248275E-2</v>
      </c>
      <c r="H214" s="22">
        <f t="shared" si="17"/>
        <v>-1.6218016949495453E-2</v>
      </c>
      <c r="I214" s="22">
        <f t="shared" si="17"/>
        <v>-1.6164345129477075E-2</v>
      </c>
      <c r="J214" s="22">
        <f t="shared" si="17"/>
        <v>-1.6080434502645399E-2</v>
      </c>
      <c r="K214" s="22">
        <f t="shared" si="17"/>
        <v>-1.5953080067482538E-2</v>
      </c>
      <c r="L214" s="22">
        <f t="shared" si="17"/>
        <v>-1.5765291004987868E-2</v>
      </c>
      <c r="M214" s="22">
        <f t="shared" si="17"/>
        <v>-1.5496059008273014E-2</v>
      </c>
      <c r="N214" s="22">
        <f t="shared" si="17"/>
        <v>-1.5120451558490913E-2</v>
      </c>
      <c r="O214" s="22">
        <f t="shared" si="17"/>
        <v>-1.4610116445393598E-2</v>
      </c>
      <c r="P214" s="22">
        <f t="shared" si="17"/>
        <v>-1.3934241497261753E-2</v>
      </c>
      <c r="Q214" s="22">
        <f t="shared" si="17"/>
        <v>-1.306095256186228E-2</v>
      </c>
      <c r="R214" s="22">
        <f t="shared" si="17"/>
        <v>-1.1959062387263486E-2</v>
      </c>
      <c r="S214" s="22">
        <f t="shared" si="17"/>
        <v>-1.0600016309278374E-2</v>
      </c>
      <c r="T214" s="22">
        <f t="shared" si="17"/>
        <v>-8.9598318359434773E-3</v>
      </c>
      <c r="U214" s="22">
        <f t="shared" si="17"/>
        <v>-7.0208101883628728E-3</v>
      </c>
      <c r="V214" s="22">
        <f t="shared" si="17"/>
        <v>-4.7728147998276427E-3</v>
      </c>
      <c r="W214" s="22">
        <f t="shared" si="17"/>
        <v>-2.2139632900844502E-3</v>
      </c>
      <c r="X214" s="22">
        <f t="shared" si="17"/>
        <v>6.4934340918063071E-4</v>
      </c>
      <c r="Y214" s="22">
        <f t="shared" si="17"/>
        <v>3.8030426835276216E-3</v>
      </c>
      <c r="Z214" s="22">
        <f t="shared" si="17"/>
        <v>7.2265872213276338E-3</v>
      </c>
      <c r="AA214" s="22">
        <f t="shared" si="17"/>
        <v>1.0894518280356634E-2</v>
      </c>
      <c r="AB214" s="22">
        <f t="shared" si="17"/>
        <v>1.4778241625350632E-2</v>
      </c>
      <c r="AC214" s="22">
        <f t="shared" si="17"/>
        <v>1.8847810014278991E-2</v>
      </c>
      <c r="AD214" s="22">
        <f t="shared" si="17"/>
        <v>2.3073542009572238E-2</v>
      </c>
      <c r="AE214" s="22">
        <f t="shared" si="17"/>
        <v>2.7427352754632976E-2</v>
      </c>
      <c r="AF214" s="22">
        <f t="shared" si="17"/>
        <v>3.1883727433359189E-2</v>
      </c>
      <c r="AG214" s="22">
        <f t="shared" si="17"/>
        <v>3.6420321972380688E-2</v>
      </c>
      <c r="AH214" s="22">
        <f t="shared" si="17"/>
        <v>4.1018220044114456E-2</v>
      </c>
      <c r="AI214" s="22">
        <f t="shared" si="17"/>
        <v>4.5661905905094786E-2</v>
      </c>
      <c r="AJ214" s="22">
        <f t="shared" si="17"/>
        <v>5.0339027907596631E-2</v>
      </c>
      <c r="AK214" s="22">
        <f t="shared" si="17"/>
        <v>5.504002935669592E-2</v>
      </c>
      <c r="AL214" s="22">
        <f t="shared" si="17"/>
        <v>5.9757715218906979E-2</v>
      </c>
      <c r="AM214" s="22">
        <f t="shared" si="17"/>
        <v>6.4486809115395838E-2</v>
      </c>
      <c r="AN214" s="22">
        <f t="shared" si="17"/>
        <v>6.9223538842206542E-2</v>
      </c>
      <c r="AO214" s="22">
        <f t="shared" si="17"/>
        <v>7.3965273261881334E-2</v>
      </c>
      <c r="AP214" s="22">
        <f t="shared" si="17"/>
        <v>7.871022061895161E-2</v>
      </c>
    </row>
    <row r="215" spans="1:42" x14ac:dyDescent="0.25">
      <c r="A215" t="s">
        <v>28</v>
      </c>
      <c r="B215" s="22">
        <f>(bs($D$9,B213,$D$11,$D$12,$D$13,$D$14-$A$40,$D$15*(1+$A$43))-$D$18)*$D$5*$D$6/$A$2</f>
        <v>0</v>
      </c>
      <c r="C215" s="22">
        <f t="shared" ref="C215:AP215" si="18">(bs($D$9,C213,$D$11,$D$12,$D$13,$D$14-$A$40,$D$15*(1+$A$43))-$D$18)*$D$5*$D$6/$A$2</f>
        <v>0</v>
      </c>
      <c r="D215" s="22">
        <f t="shared" si="18"/>
        <v>0</v>
      </c>
      <c r="E215" s="22">
        <f t="shared" si="18"/>
        <v>0</v>
      </c>
      <c r="F215" s="22">
        <f t="shared" si="18"/>
        <v>0</v>
      </c>
      <c r="G215" s="22">
        <f t="shared" si="18"/>
        <v>0</v>
      </c>
      <c r="H215" s="22">
        <f t="shared" si="18"/>
        <v>0</v>
      </c>
      <c r="I215" s="22">
        <f t="shared" si="18"/>
        <v>0</v>
      </c>
      <c r="J215" s="22">
        <f t="shared" si="18"/>
        <v>0</v>
      </c>
      <c r="K215" s="22">
        <f t="shared" si="18"/>
        <v>0</v>
      </c>
      <c r="L215" s="22">
        <f t="shared" si="18"/>
        <v>0</v>
      </c>
      <c r="M215" s="22">
        <f t="shared" si="18"/>
        <v>0</v>
      </c>
      <c r="N215" s="22">
        <f t="shared" si="18"/>
        <v>0</v>
      </c>
      <c r="O215" s="22">
        <f t="shared" si="18"/>
        <v>0</v>
      </c>
      <c r="P215" s="22">
        <f t="shared" si="18"/>
        <v>0</v>
      </c>
      <c r="Q215" s="22">
        <f t="shared" si="18"/>
        <v>0</v>
      </c>
      <c r="R215" s="22">
        <f t="shared" si="18"/>
        <v>0</v>
      </c>
      <c r="S215" s="22">
        <f t="shared" si="18"/>
        <v>0</v>
      </c>
      <c r="T215" s="22">
        <f t="shared" si="18"/>
        <v>0</v>
      </c>
      <c r="U215" s="22">
        <f t="shared" si="18"/>
        <v>0</v>
      </c>
      <c r="V215" s="22">
        <f t="shared" si="18"/>
        <v>0</v>
      </c>
      <c r="W215" s="22">
        <f t="shared" si="18"/>
        <v>0</v>
      </c>
      <c r="X215" s="22">
        <f t="shared" si="18"/>
        <v>0</v>
      </c>
      <c r="Y215" s="22">
        <f t="shared" si="18"/>
        <v>0</v>
      </c>
      <c r="Z215" s="22">
        <f t="shared" si="18"/>
        <v>0</v>
      </c>
      <c r="AA215" s="22">
        <f t="shared" si="18"/>
        <v>0</v>
      </c>
      <c r="AB215" s="22">
        <f t="shared" si="18"/>
        <v>0</v>
      </c>
      <c r="AC215" s="22">
        <f t="shared" si="18"/>
        <v>0</v>
      </c>
      <c r="AD215" s="22">
        <f t="shared" si="18"/>
        <v>0</v>
      </c>
      <c r="AE215" s="22">
        <f t="shared" si="18"/>
        <v>0</v>
      </c>
      <c r="AF215" s="22">
        <f t="shared" si="18"/>
        <v>0</v>
      </c>
      <c r="AG215" s="22">
        <f t="shared" si="18"/>
        <v>0</v>
      </c>
      <c r="AH215" s="22">
        <f t="shared" si="18"/>
        <v>0</v>
      </c>
      <c r="AI215" s="22">
        <f t="shared" si="18"/>
        <v>0</v>
      </c>
      <c r="AJ215" s="22">
        <f t="shared" si="18"/>
        <v>0</v>
      </c>
      <c r="AK215" s="22">
        <f t="shared" si="18"/>
        <v>0</v>
      </c>
      <c r="AL215" s="22">
        <f t="shared" si="18"/>
        <v>0</v>
      </c>
      <c r="AM215" s="22">
        <f t="shared" si="18"/>
        <v>0</v>
      </c>
      <c r="AN215" s="22">
        <f t="shared" si="18"/>
        <v>0</v>
      </c>
      <c r="AO215" s="22">
        <f t="shared" si="18"/>
        <v>0</v>
      </c>
      <c r="AP215" s="22">
        <f t="shared" si="18"/>
        <v>0</v>
      </c>
    </row>
    <row r="216" spans="1:42" x14ac:dyDescent="0.25">
      <c r="A216" t="s">
        <v>29</v>
      </c>
      <c r="B216" s="22">
        <f>(bs($E$9,B213,$E$11,$E$12,$E$13,$E$14-$A$40,$E$15*(1+$A$43))-$E$18)*$E$5*$E$6/$A$2</f>
        <v>0</v>
      </c>
      <c r="C216" s="22">
        <f t="shared" ref="C216:AP216" si="19">(bs($E$9,C213,$E$11,$E$12,$E$13,$E$14-$A$40,$E$15*(1+$A$43))-$E$18)*$E$5*$E$6/$A$2</f>
        <v>0</v>
      </c>
      <c r="D216" s="22">
        <f t="shared" si="19"/>
        <v>0</v>
      </c>
      <c r="E216" s="22">
        <f t="shared" si="19"/>
        <v>0</v>
      </c>
      <c r="F216" s="22">
        <f t="shared" si="19"/>
        <v>0</v>
      </c>
      <c r="G216" s="22">
        <f t="shared" si="19"/>
        <v>0</v>
      </c>
      <c r="H216" s="22">
        <f t="shared" si="19"/>
        <v>0</v>
      </c>
      <c r="I216" s="22">
        <f t="shared" si="19"/>
        <v>0</v>
      </c>
      <c r="J216" s="22">
        <f t="shared" si="19"/>
        <v>0</v>
      </c>
      <c r="K216" s="22">
        <f t="shared" si="19"/>
        <v>0</v>
      </c>
      <c r="L216" s="22">
        <f t="shared" si="19"/>
        <v>0</v>
      </c>
      <c r="M216" s="22">
        <f t="shared" si="19"/>
        <v>0</v>
      </c>
      <c r="N216" s="22">
        <f t="shared" si="19"/>
        <v>0</v>
      </c>
      <c r="O216" s="22">
        <f t="shared" si="19"/>
        <v>0</v>
      </c>
      <c r="P216" s="22">
        <f t="shared" si="19"/>
        <v>0</v>
      </c>
      <c r="Q216" s="22">
        <f t="shared" si="19"/>
        <v>0</v>
      </c>
      <c r="R216" s="22">
        <f t="shared" si="19"/>
        <v>0</v>
      </c>
      <c r="S216" s="22">
        <f t="shared" si="19"/>
        <v>0</v>
      </c>
      <c r="T216" s="22">
        <f t="shared" si="19"/>
        <v>0</v>
      </c>
      <c r="U216" s="22">
        <f t="shared" si="19"/>
        <v>0</v>
      </c>
      <c r="V216" s="22">
        <f t="shared" si="19"/>
        <v>0</v>
      </c>
      <c r="W216" s="22">
        <f t="shared" si="19"/>
        <v>0</v>
      </c>
      <c r="X216" s="22">
        <f t="shared" si="19"/>
        <v>0</v>
      </c>
      <c r="Y216" s="22">
        <f t="shared" si="19"/>
        <v>0</v>
      </c>
      <c r="Z216" s="22">
        <f t="shared" si="19"/>
        <v>0</v>
      </c>
      <c r="AA216" s="22">
        <f t="shared" si="19"/>
        <v>0</v>
      </c>
      <c r="AB216" s="22">
        <f t="shared" si="19"/>
        <v>0</v>
      </c>
      <c r="AC216" s="22">
        <f t="shared" si="19"/>
        <v>0</v>
      </c>
      <c r="AD216" s="22">
        <f t="shared" si="19"/>
        <v>0</v>
      </c>
      <c r="AE216" s="22">
        <f t="shared" si="19"/>
        <v>0</v>
      </c>
      <c r="AF216" s="22">
        <f t="shared" si="19"/>
        <v>0</v>
      </c>
      <c r="AG216" s="22">
        <f t="shared" si="19"/>
        <v>0</v>
      </c>
      <c r="AH216" s="22">
        <f t="shared" si="19"/>
        <v>0</v>
      </c>
      <c r="AI216" s="22">
        <f t="shared" si="19"/>
        <v>0</v>
      </c>
      <c r="AJ216" s="22">
        <f t="shared" si="19"/>
        <v>0</v>
      </c>
      <c r="AK216" s="22">
        <f t="shared" si="19"/>
        <v>0</v>
      </c>
      <c r="AL216" s="22">
        <f t="shared" si="19"/>
        <v>0</v>
      </c>
      <c r="AM216" s="22">
        <f t="shared" si="19"/>
        <v>0</v>
      </c>
      <c r="AN216" s="22">
        <f t="shared" si="19"/>
        <v>0</v>
      </c>
      <c r="AO216" s="22">
        <f t="shared" si="19"/>
        <v>0</v>
      </c>
      <c r="AP216" s="22">
        <f t="shared" si="19"/>
        <v>0</v>
      </c>
    </row>
    <row r="217" spans="1:42" x14ac:dyDescent="0.25">
      <c r="A217" t="s">
        <v>30</v>
      </c>
      <c r="B217" s="22">
        <f>(bs($F$9,B213,$F$11,$F$12,$F$13,$F$14-$A$40,$F$15*(1+$A$43))-$F$18)*$F$5*$F$6/$A$2</f>
        <v>0</v>
      </c>
      <c r="C217" s="22">
        <f t="shared" ref="C217:AP217" si="20">(bs($F$9,C213,$F$11,$F$12,$F$13,$F$14-$A$40,$F$15*(1+$A$43))-$F$18)*$F$5*$F$6/$A$2</f>
        <v>0</v>
      </c>
      <c r="D217" s="22">
        <f t="shared" si="20"/>
        <v>0</v>
      </c>
      <c r="E217" s="22">
        <f t="shared" si="20"/>
        <v>0</v>
      </c>
      <c r="F217" s="22">
        <f t="shared" si="20"/>
        <v>0</v>
      </c>
      <c r="G217" s="22">
        <f t="shared" si="20"/>
        <v>0</v>
      </c>
      <c r="H217" s="22">
        <f t="shared" si="20"/>
        <v>0</v>
      </c>
      <c r="I217" s="22">
        <f t="shared" si="20"/>
        <v>0</v>
      </c>
      <c r="J217" s="22">
        <f t="shared" si="20"/>
        <v>0</v>
      </c>
      <c r="K217" s="22">
        <f t="shared" si="20"/>
        <v>0</v>
      </c>
      <c r="L217" s="22">
        <f t="shared" si="20"/>
        <v>0</v>
      </c>
      <c r="M217" s="22">
        <f t="shared" si="20"/>
        <v>0</v>
      </c>
      <c r="N217" s="22">
        <f t="shared" si="20"/>
        <v>0</v>
      </c>
      <c r="O217" s="22">
        <f t="shared" si="20"/>
        <v>0</v>
      </c>
      <c r="P217" s="22">
        <f t="shared" si="20"/>
        <v>0</v>
      </c>
      <c r="Q217" s="22">
        <f t="shared" si="20"/>
        <v>0</v>
      </c>
      <c r="R217" s="22">
        <f t="shared" si="20"/>
        <v>0</v>
      </c>
      <c r="S217" s="22">
        <f t="shared" si="20"/>
        <v>0</v>
      </c>
      <c r="T217" s="22">
        <f t="shared" si="20"/>
        <v>0</v>
      </c>
      <c r="U217" s="22">
        <f t="shared" si="20"/>
        <v>0</v>
      </c>
      <c r="V217" s="22">
        <f t="shared" si="20"/>
        <v>0</v>
      </c>
      <c r="W217" s="22">
        <f t="shared" si="20"/>
        <v>0</v>
      </c>
      <c r="X217" s="22">
        <f t="shared" si="20"/>
        <v>0</v>
      </c>
      <c r="Y217" s="22">
        <f t="shared" si="20"/>
        <v>0</v>
      </c>
      <c r="Z217" s="22">
        <f t="shared" si="20"/>
        <v>0</v>
      </c>
      <c r="AA217" s="22">
        <f t="shared" si="20"/>
        <v>0</v>
      </c>
      <c r="AB217" s="22">
        <f t="shared" si="20"/>
        <v>0</v>
      </c>
      <c r="AC217" s="22">
        <f t="shared" si="20"/>
        <v>0</v>
      </c>
      <c r="AD217" s="22">
        <f t="shared" si="20"/>
        <v>0</v>
      </c>
      <c r="AE217" s="22">
        <f t="shared" si="20"/>
        <v>0</v>
      </c>
      <c r="AF217" s="22">
        <f t="shared" si="20"/>
        <v>0</v>
      </c>
      <c r="AG217" s="22">
        <f t="shared" si="20"/>
        <v>0</v>
      </c>
      <c r="AH217" s="22">
        <f t="shared" si="20"/>
        <v>0</v>
      </c>
      <c r="AI217" s="22">
        <f t="shared" si="20"/>
        <v>0</v>
      </c>
      <c r="AJ217" s="22">
        <f t="shared" si="20"/>
        <v>0</v>
      </c>
      <c r="AK217" s="22">
        <f t="shared" si="20"/>
        <v>0</v>
      </c>
      <c r="AL217" s="22">
        <f t="shared" si="20"/>
        <v>0</v>
      </c>
      <c r="AM217" s="22">
        <f t="shared" si="20"/>
        <v>0</v>
      </c>
      <c r="AN217" s="22">
        <f t="shared" si="20"/>
        <v>0</v>
      </c>
      <c r="AO217" s="22">
        <f t="shared" si="20"/>
        <v>0</v>
      </c>
      <c r="AP217" s="22">
        <f t="shared" si="20"/>
        <v>0</v>
      </c>
    </row>
    <row r="218" spans="1:42" x14ac:dyDescent="0.25">
      <c r="A218" t="s">
        <v>6</v>
      </c>
      <c r="B218" s="22">
        <f>$G$6*$G$5*(B213-$C$10)/$A$2</f>
        <v>0</v>
      </c>
      <c r="C218" s="22">
        <f t="shared" ref="C218:AP218" si="21">$G$6*$G$5*(C213-$C$10)/$A$2</f>
        <v>0</v>
      </c>
      <c r="D218" s="22">
        <f t="shared" si="21"/>
        <v>0</v>
      </c>
      <c r="E218" s="22">
        <f t="shared" si="21"/>
        <v>0</v>
      </c>
      <c r="F218" s="22">
        <f t="shared" si="21"/>
        <v>0</v>
      </c>
      <c r="G218" s="22">
        <f t="shared" si="21"/>
        <v>0</v>
      </c>
      <c r="H218" s="22">
        <f t="shared" si="21"/>
        <v>0</v>
      </c>
      <c r="I218" s="22">
        <f t="shared" si="21"/>
        <v>0</v>
      </c>
      <c r="J218" s="22">
        <f t="shared" si="21"/>
        <v>0</v>
      </c>
      <c r="K218" s="22">
        <f t="shared" si="21"/>
        <v>0</v>
      </c>
      <c r="L218" s="22">
        <f t="shared" si="21"/>
        <v>0</v>
      </c>
      <c r="M218" s="22">
        <f t="shared" si="21"/>
        <v>0</v>
      </c>
      <c r="N218" s="22">
        <f t="shared" si="21"/>
        <v>0</v>
      </c>
      <c r="O218" s="22">
        <f t="shared" si="21"/>
        <v>0</v>
      </c>
      <c r="P218" s="22">
        <f t="shared" si="21"/>
        <v>0</v>
      </c>
      <c r="Q218" s="22">
        <f t="shared" si="21"/>
        <v>0</v>
      </c>
      <c r="R218" s="22">
        <f t="shared" si="21"/>
        <v>0</v>
      </c>
      <c r="S218" s="22">
        <f t="shared" si="21"/>
        <v>0</v>
      </c>
      <c r="T218" s="22">
        <f t="shared" si="21"/>
        <v>0</v>
      </c>
      <c r="U218" s="22">
        <f t="shared" si="21"/>
        <v>0</v>
      </c>
      <c r="V218" s="22">
        <f t="shared" si="21"/>
        <v>0</v>
      </c>
      <c r="W218" s="22">
        <f t="shared" si="21"/>
        <v>0</v>
      </c>
      <c r="X218" s="22">
        <f t="shared" si="21"/>
        <v>0</v>
      </c>
      <c r="Y218" s="22">
        <f t="shared" si="21"/>
        <v>0</v>
      </c>
      <c r="Z218" s="22">
        <f t="shared" si="21"/>
        <v>0</v>
      </c>
      <c r="AA218" s="22">
        <f t="shared" si="21"/>
        <v>0</v>
      </c>
      <c r="AB218" s="22">
        <f t="shared" si="21"/>
        <v>0</v>
      </c>
      <c r="AC218" s="22">
        <f t="shared" si="21"/>
        <v>0</v>
      </c>
      <c r="AD218" s="22">
        <f t="shared" si="21"/>
        <v>0</v>
      </c>
      <c r="AE218" s="22">
        <f t="shared" si="21"/>
        <v>0</v>
      </c>
      <c r="AF218" s="22">
        <f t="shared" si="21"/>
        <v>0</v>
      </c>
      <c r="AG218" s="22">
        <f t="shared" si="21"/>
        <v>0</v>
      </c>
      <c r="AH218" s="22">
        <f t="shared" si="21"/>
        <v>0</v>
      </c>
      <c r="AI218" s="22">
        <f t="shared" si="21"/>
        <v>0</v>
      </c>
      <c r="AJ218" s="22">
        <f t="shared" si="21"/>
        <v>0</v>
      </c>
      <c r="AK218" s="22">
        <f t="shared" si="21"/>
        <v>0</v>
      </c>
      <c r="AL218" s="22">
        <f t="shared" si="21"/>
        <v>0</v>
      </c>
      <c r="AM218" s="22">
        <f t="shared" si="21"/>
        <v>0</v>
      </c>
      <c r="AN218" s="22">
        <f t="shared" si="21"/>
        <v>0</v>
      </c>
      <c r="AO218" s="22">
        <f t="shared" si="21"/>
        <v>0</v>
      </c>
      <c r="AP218" s="22">
        <f t="shared" si="21"/>
        <v>0</v>
      </c>
    </row>
    <row r="219" spans="1:42" x14ac:dyDescent="0.25">
      <c r="A219" s="7" t="s">
        <v>32</v>
      </c>
      <c r="B219" s="21">
        <f t="shared" ref="B219:K219" si="22">SUM(B214:B218)</f>
        <v>-1.6295082995268564E-2</v>
      </c>
      <c r="C219" s="21">
        <f t="shared" si="22"/>
        <v>-1.6293190323411491E-2</v>
      </c>
      <c r="D219" s="21">
        <f t="shared" si="22"/>
        <v>-1.6289600554038268E-2</v>
      </c>
      <c r="E219" s="21">
        <f t="shared" si="22"/>
        <v>-1.6283019532073992E-2</v>
      </c>
      <c r="F219" s="21">
        <f t="shared" si="22"/>
        <v>-1.6271349722514004E-2</v>
      </c>
      <c r="G219" s="21">
        <f t="shared" si="22"/>
        <v>-1.6251319422248275E-2</v>
      </c>
      <c r="H219" s="61">
        <f t="shared" si="22"/>
        <v>-1.6218016949495453E-2</v>
      </c>
      <c r="I219" s="61">
        <f t="shared" si="22"/>
        <v>-1.6164345129477075E-2</v>
      </c>
      <c r="J219" s="61">
        <f t="shared" si="22"/>
        <v>-1.6080434502645399E-2</v>
      </c>
      <c r="K219" s="61">
        <f t="shared" si="22"/>
        <v>-1.5953080067482538E-2</v>
      </c>
      <c r="L219" s="61">
        <f t="shared" ref="L219:U219" si="23">SUM(L214:L218)</f>
        <v>-1.5765291004987868E-2</v>
      </c>
      <c r="M219" s="61">
        <f t="shared" si="23"/>
        <v>-1.5496059008273014E-2</v>
      </c>
      <c r="N219" s="61">
        <f t="shared" si="23"/>
        <v>-1.5120451558490913E-2</v>
      </c>
      <c r="O219" s="61">
        <f t="shared" si="23"/>
        <v>-1.4610116445393598E-2</v>
      </c>
      <c r="P219" s="61">
        <f t="shared" si="23"/>
        <v>-1.3934241497261753E-2</v>
      </c>
      <c r="Q219" s="61">
        <f t="shared" si="23"/>
        <v>-1.306095256186228E-2</v>
      </c>
      <c r="R219" s="61">
        <f t="shared" si="23"/>
        <v>-1.1959062387263486E-2</v>
      </c>
      <c r="S219" s="61">
        <f t="shared" si="23"/>
        <v>-1.0600016309278374E-2</v>
      </c>
      <c r="T219" s="61">
        <f t="shared" si="23"/>
        <v>-8.9598318359434773E-3</v>
      </c>
      <c r="U219" s="61">
        <f t="shared" si="23"/>
        <v>-7.0208101883628728E-3</v>
      </c>
      <c r="V219" s="61">
        <f t="shared" ref="V219:AF219" si="24">SUM(V214:V218)</f>
        <v>-4.7728147998276427E-3</v>
      </c>
      <c r="W219" s="61">
        <f t="shared" si="24"/>
        <v>-2.2139632900844502E-3</v>
      </c>
      <c r="X219" s="61">
        <f t="shared" si="24"/>
        <v>6.4934340918063071E-4</v>
      </c>
      <c r="Y219" s="61">
        <f t="shared" si="24"/>
        <v>3.8030426835276216E-3</v>
      </c>
      <c r="Z219" s="61">
        <f t="shared" si="24"/>
        <v>7.2265872213276338E-3</v>
      </c>
      <c r="AA219" s="61">
        <f t="shared" si="24"/>
        <v>1.0894518280356634E-2</v>
      </c>
      <c r="AB219" s="61">
        <f t="shared" si="24"/>
        <v>1.4778241625350632E-2</v>
      </c>
      <c r="AC219" s="61">
        <f t="shared" si="24"/>
        <v>1.8847810014278991E-2</v>
      </c>
      <c r="AD219" s="61">
        <f t="shared" si="24"/>
        <v>2.3073542009572238E-2</v>
      </c>
      <c r="AE219" s="61">
        <f t="shared" si="24"/>
        <v>2.7427352754632976E-2</v>
      </c>
      <c r="AF219" s="61">
        <f t="shared" si="24"/>
        <v>3.1883727433359189E-2</v>
      </c>
      <c r="AG219" s="61">
        <f t="shared" ref="AG219:AP219" si="25">SUM(AG214:AG218)</f>
        <v>3.6420321972380688E-2</v>
      </c>
      <c r="AH219" s="61">
        <f t="shared" si="25"/>
        <v>4.1018220044114456E-2</v>
      </c>
      <c r="AI219" s="61">
        <f t="shared" si="25"/>
        <v>4.5661905905094786E-2</v>
      </c>
      <c r="AJ219" s="61">
        <f t="shared" si="25"/>
        <v>5.0339027907596631E-2</v>
      </c>
      <c r="AK219" s="61">
        <f t="shared" si="25"/>
        <v>5.504002935669592E-2</v>
      </c>
      <c r="AL219" s="61">
        <f t="shared" si="25"/>
        <v>5.9757715218906979E-2</v>
      </c>
      <c r="AM219" s="61">
        <f t="shared" si="25"/>
        <v>6.4486809115395838E-2</v>
      </c>
      <c r="AN219" s="61">
        <f t="shared" si="25"/>
        <v>6.9223538842206542E-2</v>
      </c>
      <c r="AO219" s="61">
        <f t="shared" si="25"/>
        <v>7.3965273261881334E-2</v>
      </c>
      <c r="AP219" s="61">
        <f t="shared" si="25"/>
        <v>7.871022061895161E-2</v>
      </c>
    </row>
    <row r="222" spans="1:42" x14ac:dyDescent="0.25">
      <c r="A222" s="7" t="s">
        <v>36</v>
      </c>
      <c r="B222" s="18">
        <f>$A$37*-20</f>
        <v>-0.1</v>
      </c>
      <c r="C222" s="18">
        <f>$A$37*-19</f>
        <v>-9.5000000000000001E-2</v>
      </c>
      <c r="D222" s="18">
        <f>$A$37*-18</f>
        <v>-0.09</v>
      </c>
      <c r="E222" s="18">
        <f>$A$37*-17</f>
        <v>-8.5000000000000006E-2</v>
      </c>
      <c r="F222" s="18">
        <f>$A$37*-16</f>
        <v>-0.08</v>
      </c>
      <c r="G222" s="18">
        <f>$A$37*-15</f>
        <v>-7.4999999999999997E-2</v>
      </c>
      <c r="H222" s="57">
        <f>$A$37*-14</f>
        <v>-7.0000000000000007E-2</v>
      </c>
      <c r="I222" s="57">
        <f>$A$37*-13</f>
        <v>-6.5000000000000002E-2</v>
      </c>
      <c r="J222" s="57">
        <f>$A$37*-12</f>
        <v>-0.06</v>
      </c>
      <c r="K222" s="57">
        <f>$A$37*-11</f>
        <v>-5.5E-2</v>
      </c>
      <c r="L222" s="57">
        <f>$A$37*-10</f>
        <v>-0.05</v>
      </c>
      <c r="M222" s="57">
        <f>$A$37*-9</f>
        <v>-4.4999999999999998E-2</v>
      </c>
      <c r="N222" s="57">
        <f>$A$37*-8</f>
        <v>-0.04</v>
      </c>
      <c r="O222" s="57">
        <f>$A$37*-7</f>
        <v>-3.5000000000000003E-2</v>
      </c>
      <c r="P222" s="57">
        <f>$A$37*-6</f>
        <v>-0.03</v>
      </c>
      <c r="Q222" s="57">
        <f>$A$37*-5</f>
        <v>-2.5000000000000001E-2</v>
      </c>
      <c r="R222" s="57">
        <f>$A$37*-4</f>
        <v>-0.02</v>
      </c>
      <c r="S222" s="57">
        <f>$A$37*-3</f>
        <v>-1.4999999999999999E-2</v>
      </c>
      <c r="T222" s="57">
        <f>$A$37*-2</f>
        <v>-0.01</v>
      </c>
      <c r="U222" s="57">
        <f>$A$37*-1</f>
        <v>-5.0000000000000001E-3</v>
      </c>
      <c r="V222" s="58">
        <v>0</v>
      </c>
      <c r="W222" s="59">
        <f>$A$37*1</f>
        <v>5.0000000000000001E-3</v>
      </c>
      <c r="X222" s="59">
        <f>$A$37*2</f>
        <v>0.01</v>
      </c>
      <c r="Y222" s="59">
        <f>$A$37*3</f>
        <v>1.4999999999999999E-2</v>
      </c>
      <c r="Z222" s="59">
        <f>$A$37*4</f>
        <v>0.02</v>
      </c>
      <c r="AA222" s="59">
        <f>$A$37*5</f>
        <v>2.5000000000000001E-2</v>
      </c>
      <c r="AB222" s="59">
        <f>$A$37*6</f>
        <v>0.03</v>
      </c>
      <c r="AC222" s="59">
        <f>$A$37*7</f>
        <v>3.5000000000000003E-2</v>
      </c>
      <c r="AD222" s="59">
        <f>$A$37*8</f>
        <v>0.04</v>
      </c>
      <c r="AE222" s="59">
        <f>$A$37*9</f>
        <v>4.4999999999999998E-2</v>
      </c>
      <c r="AF222" s="59">
        <f>$A$37*10</f>
        <v>0.05</v>
      </c>
      <c r="AG222" s="59">
        <f>$A$37*11</f>
        <v>5.5E-2</v>
      </c>
      <c r="AH222" s="59">
        <f>$A$37*12</f>
        <v>0.06</v>
      </c>
      <c r="AI222" s="59">
        <f>$A$37*13</f>
        <v>6.5000000000000002E-2</v>
      </c>
      <c r="AJ222" s="59">
        <f>$A$37*14</f>
        <v>7.0000000000000007E-2</v>
      </c>
      <c r="AK222" s="59">
        <f>$A$37*15</f>
        <v>7.4999999999999997E-2</v>
      </c>
      <c r="AL222" s="59">
        <f>$A$37*16</f>
        <v>0.08</v>
      </c>
      <c r="AM222" s="59">
        <f>$A$37*17</f>
        <v>8.5000000000000006E-2</v>
      </c>
      <c r="AN222" s="59">
        <f>$A$37*18</f>
        <v>0.09</v>
      </c>
      <c r="AO222" s="59">
        <f>$A$37*19</f>
        <v>9.5000000000000001E-2</v>
      </c>
      <c r="AP222" s="59">
        <f>$A$37*20</f>
        <v>0.1</v>
      </c>
    </row>
    <row r="223" spans="1:42" x14ac:dyDescent="0.25">
      <c r="B223" s="19">
        <f t="shared" ref="B223:U223" si="26">$V$206*(1+B222)</f>
        <v>1710</v>
      </c>
      <c r="C223" s="19">
        <f t="shared" si="26"/>
        <v>1719.5</v>
      </c>
      <c r="D223" s="19">
        <f t="shared" si="26"/>
        <v>1729</v>
      </c>
      <c r="E223" s="19">
        <f t="shared" si="26"/>
        <v>1738.5</v>
      </c>
      <c r="F223" s="19">
        <f t="shared" si="26"/>
        <v>1748</v>
      </c>
      <c r="G223" s="19">
        <f t="shared" si="26"/>
        <v>1757.5</v>
      </c>
      <c r="H223" s="60">
        <f t="shared" si="26"/>
        <v>1766.9999999999998</v>
      </c>
      <c r="I223" s="60">
        <f t="shared" si="26"/>
        <v>1776.5</v>
      </c>
      <c r="J223" s="60">
        <f t="shared" si="26"/>
        <v>1786</v>
      </c>
      <c r="K223" s="60">
        <f t="shared" si="26"/>
        <v>1795.5</v>
      </c>
      <c r="L223" s="60">
        <f t="shared" si="26"/>
        <v>1805</v>
      </c>
      <c r="M223" s="60">
        <f t="shared" si="26"/>
        <v>1814.5</v>
      </c>
      <c r="N223" s="60">
        <f t="shared" si="26"/>
        <v>1824</v>
      </c>
      <c r="O223" s="60">
        <f t="shared" si="26"/>
        <v>1833.5</v>
      </c>
      <c r="P223" s="60">
        <f t="shared" si="26"/>
        <v>1843</v>
      </c>
      <c r="Q223" s="60">
        <f t="shared" si="26"/>
        <v>1852.5</v>
      </c>
      <c r="R223" s="60">
        <f t="shared" si="26"/>
        <v>1862</v>
      </c>
      <c r="S223" s="60">
        <f t="shared" si="26"/>
        <v>1871.5</v>
      </c>
      <c r="T223" s="60">
        <f t="shared" si="26"/>
        <v>1881</v>
      </c>
      <c r="U223" s="60">
        <f t="shared" si="26"/>
        <v>1890.5</v>
      </c>
      <c r="V223" s="32">
        <f>$C$10</f>
        <v>1900</v>
      </c>
      <c r="W223" s="60">
        <f t="shared" ref="W223:AP223" si="27">$V$206*(1+W222)</f>
        <v>1909.4999999999998</v>
      </c>
      <c r="X223" s="60">
        <f t="shared" si="27"/>
        <v>1919</v>
      </c>
      <c r="Y223" s="60">
        <f t="shared" si="27"/>
        <v>1928.4999999999998</v>
      </c>
      <c r="Z223" s="60">
        <f t="shared" si="27"/>
        <v>1938</v>
      </c>
      <c r="AA223" s="60">
        <f t="shared" si="27"/>
        <v>1947.4999999999998</v>
      </c>
      <c r="AB223" s="60">
        <f t="shared" si="27"/>
        <v>1957</v>
      </c>
      <c r="AC223" s="60">
        <f t="shared" si="27"/>
        <v>1966.4999999999998</v>
      </c>
      <c r="AD223" s="60">
        <f t="shared" si="27"/>
        <v>1976</v>
      </c>
      <c r="AE223" s="60">
        <f t="shared" si="27"/>
        <v>1985.4999999999998</v>
      </c>
      <c r="AF223" s="60">
        <f t="shared" si="27"/>
        <v>1995</v>
      </c>
      <c r="AG223" s="60">
        <f t="shared" si="27"/>
        <v>2004.4999999999998</v>
      </c>
      <c r="AH223" s="60">
        <f t="shared" si="27"/>
        <v>2014</v>
      </c>
      <c r="AI223" s="60">
        <f t="shared" si="27"/>
        <v>2023.5</v>
      </c>
      <c r="AJ223" s="60">
        <f t="shared" si="27"/>
        <v>2033.0000000000002</v>
      </c>
      <c r="AK223" s="60">
        <f t="shared" si="27"/>
        <v>2042.5</v>
      </c>
      <c r="AL223" s="60">
        <f t="shared" si="27"/>
        <v>2052</v>
      </c>
      <c r="AM223" s="60">
        <f t="shared" si="27"/>
        <v>2061.5</v>
      </c>
      <c r="AN223" s="60">
        <f t="shared" si="27"/>
        <v>2071</v>
      </c>
      <c r="AO223" s="60">
        <f t="shared" si="27"/>
        <v>2080.5</v>
      </c>
      <c r="AP223" s="60">
        <f t="shared" si="27"/>
        <v>2090</v>
      </c>
    </row>
    <row r="224" spans="1:42" x14ac:dyDescent="0.25">
      <c r="A224" t="s">
        <v>27</v>
      </c>
      <c r="B224" s="22">
        <f>(deltaG($C$9,B223,$C$11,$C$12,$C$13,$C$14,$C$15))*$C$5*$C$6*$C$10/$A$2</f>
        <v>7.2010020073314503E-3</v>
      </c>
      <c r="C224" s="22">
        <f t="shared" ref="C224:AP224" si="28">(deltaG($C$9,C223,$C$11,$C$12,$C$13,$C$14,$C$15))*$C$5*$C$6*$C$10/$A$2</f>
        <v>1.0195884730468245E-2</v>
      </c>
      <c r="D224" s="22">
        <f t="shared" si="28"/>
        <v>1.4196389046152169E-2</v>
      </c>
      <c r="E224" s="22">
        <f t="shared" si="28"/>
        <v>1.9445223520029017E-2</v>
      </c>
      <c r="F224" s="22">
        <f t="shared" si="28"/>
        <v>2.6211467098064128E-2</v>
      </c>
      <c r="G224" s="22">
        <f t="shared" si="28"/>
        <v>3.478362145520307E-2</v>
      </c>
      <c r="H224" s="22">
        <f t="shared" si="28"/>
        <v>4.5459621550105897E-2</v>
      </c>
      <c r="I224" s="22">
        <f t="shared" si="28"/>
        <v>5.8533959642438092E-2</v>
      </c>
      <c r="J224" s="22">
        <f t="shared" si="28"/>
        <v>7.4282397701753447E-2</v>
      </c>
      <c r="K224" s="22">
        <f t="shared" si="28"/>
        <v>9.294506775934501E-2</v>
      </c>
      <c r="L224" s="22">
        <f t="shared" si="28"/>
        <v>0.11470904820915617</v>
      </c>
      <c r="M224" s="22">
        <f t="shared" si="28"/>
        <v>0.13969171433300806</v>
      </c>
      <c r="N224" s="22">
        <f t="shared" si="28"/>
        <v>0.16792625697328459</v>
      </c>
      <c r="O224" s="22">
        <f t="shared" si="28"/>
        <v>0.19935071970849028</v>
      </c>
      <c r="P224" s="22">
        <f t="shared" si="28"/>
        <v>0.23380171421474619</v>
      </c>
      <c r="Q224" s="22">
        <f t="shared" si="28"/>
        <v>0.27101364701874636</v>
      </c>
      <c r="R224" s="22">
        <f t="shared" si="28"/>
        <v>0.31062385856605257</v>
      </c>
      <c r="S224" s="22">
        <f t="shared" si="28"/>
        <v>0.35218358263934169</v>
      </c>
      <c r="T224" s="22">
        <f t="shared" si="28"/>
        <v>0.39517413504454024</v>
      </c>
      <c r="U224" s="22">
        <f t="shared" si="28"/>
        <v>0.43902729117000894</v>
      </c>
      <c r="V224" s="22">
        <f t="shared" si="28"/>
        <v>0.48314846240560022</v>
      </c>
      <c r="W224" s="22">
        <f t="shared" si="28"/>
        <v>0.52694106847339062</v>
      </c>
      <c r="X224" s="22">
        <f t="shared" si="28"/>
        <v>0.56983044590059617</v>
      </c>
      <c r="Y224" s="22">
        <f t="shared" si="28"/>
        <v>0.61128573213852844</v>
      </c>
      <c r="Z224" s="22">
        <f t="shared" si="28"/>
        <v>0.65083840175727681</v>
      </c>
      <c r="AA224" s="22">
        <f t="shared" si="28"/>
        <v>0.68809647244844785</v>
      </c>
      <c r="AB224" s="22">
        <f t="shared" si="28"/>
        <v>0.7227538015395526</v>
      </c>
      <c r="AC224" s="22">
        <f t="shared" si="28"/>
        <v>0.75459431244788877</v>
      </c>
      <c r="AD224" s="22">
        <f t="shared" si="28"/>
        <v>0.78349138189289447</v>
      </c>
      <c r="AE224" s="22">
        <f t="shared" si="28"/>
        <v>0.80940294745917196</v>
      </c>
      <c r="AF224" s="22">
        <f t="shared" si="28"/>
        <v>0.83236313709363663</v>
      </c>
      <c r="AG224" s="22">
        <f t="shared" si="28"/>
        <v>0.85247136569179682</v>
      </c>
      <c r="AH224" s="22">
        <f t="shared" si="28"/>
        <v>0.8698798895443175</v>
      </c>
      <c r="AI224" s="22">
        <f t="shared" si="28"/>
        <v>0.88478076772624537</v>
      </c>
      <c r="AJ224" s="22">
        <f t="shared" si="28"/>
        <v>0.89739306846393807</v>
      </c>
      <c r="AK224" s="22">
        <f t="shared" si="28"/>
        <v>0.9079510000474349</v>
      </c>
      <c r="AL224" s="22">
        <f t="shared" si="28"/>
        <v>0.91669346270976793</v>
      </c>
      <c r="AM224" s="22">
        <f t="shared" si="28"/>
        <v>0.92385533093689887</v>
      </c>
      <c r="AN224" s="22">
        <f t="shared" si="28"/>
        <v>0.92966060198642819</v>
      </c>
      <c r="AO224" s="22">
        <f t="shared" si="28"/>
        <v>0.93431739822130655</v>
      </c>
      <c r="AP224" s="22">
        <f t="shared" si="28"/>
        <v>0.93801469534895676</v>
      </c>
    </row>
    <row r="225" spans="1:42" x14ac:dyDescent="0.25">
      <c r="A225" t="s">
        <v>28</v>
      </c>
      <c r="B225" s="22">
        <f>(deltaG($D$9,B223,$D$11,$D$12,$D$13,$D$14,$D$15))*$D$5*$D$6*$C$10/$A$2</f>
        <v>0</v>
      </c>
      <c r="C225" s="22">
        <f t="shared" ref="C225:AP225" si="29">(deltaG($D$9,C223,$D$11,$D$12,$D$13,$D$14,$D$15))*$D$5*$D$6*$C$10/$A$2</f>
        <v>0</v>
      </c>
      <c r="D225" s="22">
        <f t="shared" si="29"/>
        <v>0</v>
      </c>
      <c r="E225" s="22">
        <f t="shared" si="29"/>
        <v>0</v>
      </c>
      <c r="F225" s="22">
        <f t="shared" si="29"/>
        <v>0</v>
      </c>
      <c r="G225" s="22">
        <f t="shared" si="29"/>
        <v>0</v>
      </c>
      <c r="H225" s="22">
        <f t="shared" si="29"/>
        <v>0</v>
      </c>
      <c r="I225" s="22">
        <f t="shared" si="29"/>
        <v>0</v>
      </c>
      <c r="J225" s="22">
        <f t="shared" si="29"/>
        <v>0</v>
      </c>
      <c r="K225" s="22">
        <f t="shared" si="29"/>
        <v>0</v>
      </c>
      <c r="L225" s="22">
        <f t="shared" si="29"/>
        <v>0</v>
      </c>
      <c r="M225" s="22">
        <f t="shared" si="29"/>
        <v>0</v>
      </c>
      <c r="N225" s="22">
        <f t="shared" si="29"/>
        <v>0</v>
      </c>
      <c r="O225" s="22">
        <f t="shared" si="29"/>
        <v>0</v>
      </c>
      <c r="P225" s="22">
        <f t="shared" si="29"/>
        <v>0</v>
      </c>
      <c r="Q225" s="22">
        <f t="shared" si="29"/>
        <v>0</v>
      </c>
      <c r="R225" s="22">
        <f t="shared" si="29"/>
        <v>0</v>
      </c>
      <c r="S225" s="22">
        <f t="shared" si="29"/>
        <v>0</v>
      </c>
      <c r="T225" s="22">
        <f t="shared" si="29"/>
        <v>0</v>
      </c>
      <c r="U225" s="22">
        <f t="shared" si="29"/>
        <v>0</v>
      </c>
      <c r="V225" s="22">
        <f t="shared" si="29"/>
        <v>0</v>
      </c>
      <c r="W225" s="22">
        <f t="shared" si="29"/>
        <v>0</v>
      </c>
      <c r="X225" s="22">
        <f t="shared" si="29"/>
        <v>0</v>
      </c>
      <c r="Y225" s="22">
        <f t="shared" si="29"/>
        <v>0</v>
      </c>
      <c r="Z225" s="22">
        <f t="shared" si="29"/>
        <v>0</v>
      </c>
      <c r="AA225" s="22">
        <f t="shared" si="29"/>
        <v>0</v>
      </c>
      <c r="AB225" s="22">
        <f t="shared" si="29"/>
        <v>0</v>
      </c>
      <c r="AC225" s="22">
        <f t="shared" si="29"/>
        <v>0</v>
      </c>
      <c r="AD225" s="22">
        <f t="shared" si="29"/>
        <v>0</v>
      </c>
      <c r="AE225" s="22">
        <f t="shared" si="29"/>
        <v>0</v>
      </c>
      <c r="AF225" s="22">
        <f t="shared" si="29"/>
        <v>0</v>
      </c>
      <c r="AG225" s="22">
        <f t="shared" si="29"/>
        <v>0</v>
      </c>
      <c r="AH225" s="22">
        <f t="shared" si="29"/>
        <v>0</v>
      </c>
      <c r="AI225" s="22">
        <f t="shared" si="29"/>
        <v>0</v>
      </c>
      <c r="AJ225" s="22">
        <f t="shared" si="29"/>
        <v>0</v>
      </c>
      <c r="AK225" s="22">
        <f t="shared" si="29"/>
        <v>0</v>
      </c>
      <c r="AL225" s="22">
        <f t="shared" si="29"/>
        <v>0</v>
      </c>
      <c r="AM225" s="22">
        <f t="shared" si="29"/>
        <v>0</v>
      </c>
      <c r="AN225" s="22">
        <f t="shared" si="29"/>
        <v>0</v>
      </c>
      <c r="AO225" s="22">
        <f t="shared" si="29"/>
        <v>0</v>
      </c>
      <c r="AP225" s="22">
        <f t="shared" si="29"/>
        <v>0</v>
      </c>
    </row>
    <row r="226" spans="1:42" x14ac:dyDescent="0.25">
      <c r="A226" t="s">
        <v>29</v>
      </c>
      <c r="B226" s="22">
        <f>(deltaG($E$9,B223,$E$11,$E$12,$E$13,$E$14,$E$15))*$E$5*$E$6*$C$10/$A$2</f>
        <v>0</v>
      </c>
      <c r="C226" s="22">
        <f t="shared" ref="C226:AP226" si="30">(deltaG($E$9,C223,$E$11,$E$12,$E$13,$E$14,$E$15))*$E$5*$E$6*$C$10/$A$2</f>
        <v>0</v>
      </c>
      <c r="D226" s="22">
        <f t="shared" si="30"/>
        <v>0</v>
      </c>
      <c r="E226" s="22">
        <f t="shared" si="30"/>
        <v>0</v>
      </c>
      <c r="F226" s="22">
        <f t="shared" si="30"/>
        <v>0</v>
      </c>
      <c r="G226" s="22">
        <f t="shared" si="30"/>
        <v>0</v>
      </c>
      <c r="H226" s="22">
        <f t="shared" si="30"/>
        <v>0</v>
      </c>
      <c r="I226" s="22">
        <f t="shared" si="30"/>
        <v>0</v>
      </c>
      <c r="J226" s="22">
        <f t="shared" si="30"/>
        <v>0</v>
      </c>
      <c r="K226" s="22">
        <f t="shared" si="30"/>
        <v>0</v>
      </c>
      <c r="L226" s="22">
        <f t="shared" si="30"/>
        <v>0</v>
      </c>
      <c r="M226" s="22">
        <f t="shared" si="30"/>
        <v>0</v>
      </c>
      <c r="N226" s="22">
        <f t="shared" si="30"/>
        <v>0</v>
      </c>
      <c r="O226" s="22">
        <f t="shared" si="30"/>
        <v>0</v>
      </c>
      <c r="P226" s="22">
        <f t="shared" si="30"/>
        <v>0</v>
      </c>
      <c r="Q226" s="22">
        <f t="shared" si="30"/>
        <v>0</v>
      </c>
      <c r="R226" s="22">
        <f t="shared" si="30"/>
        <v>0</v>
      </c>
      <c r="S226" s="22">
        <f t="shared" si="30"/>
        <v>0</v>
      </c>
      <c r="T226" s="22">
        <f t="shared" si="30"/>
        <v>0</v>
      </c>
      <c r="U226" s="22">
        <f t="shared" si="30"/>
        <v>0</v>
      </c>
      <c r="V226" s="22">
        <f t="shared" si="30"/>
        <v>0</v>
      </c>
      <c r="W226" s="22">
        <f t="shared" si="30"/>
        <v>0</v>
      </c>
      <c r="X226" s="22">
        <f t="shared" si="30"/>
        <v>0</v>
      </c>
      <c r="Y226" s="22">
        <f t="shared" si="30"/>
        <v>0</v>
      </c>
      <c r="Z226" s="22">
        <f t="shared" si="30"/>
        <v>0</v>
      </c>
      <c r="AA226" s="22">
        <f t="shared" si="30"/>
        <v>0</v>
      </c>
      <c r="AB226" s="22">
        <f t="shared" si="30"/>
        <v>0</v>
      </c>
      <c r="AC226" s="22">
        <f t="shared" si="30"/>
        <v>0</v>
      </c>
      <c r="AD226" s="22">
        <f t="shared" si="30"/>
        <v>0</v>
      </c>
      <c r="AE226" s="22">
        <f t="shared" si="30"/>
        <v>0</v>
      </c>
      <c r="AF226" s="22">
        <f t="shared" si="30"/>
        <v>0</v>
      </c>
      <c r="AG226" s="22">
        <f t="shared" si="30"/>
        <v>0</v>
      </c>
      <c r="AH226" s="22">
        <f t="shared" si="30"/>
        <v>0</v>
      </c>
      <c r="AI226" s="22">
        <f t="shared" si="30"/>
        <v>0</v>
      </c>
      <c r="AJ226" s="22">
        <f t="shared" si="30"/>
        <v>0</v>
      </c>
      <c r="AK226" s="22">
        <f t="shared" si="30"/>
        <v>0</v>
      </c>
      <c r="AL226" s="22">
        <f t="shared" si="30"/>
        <v>0</v>
      </c>
      <c r="AM226" s="22">
        <f t="shared" si="30"/>
        <v>0</v>
      </c>
      <c r="AN226" s="22">
        <f t="shared" si="30"/>
        <v>0</v>
      </c>
      <c r="AO226" s="22">
        <f t="shared" si="30"/>
        <v>0</v>
      </c>
      <c r="AP226" s="22">
        <f t="shared" si="30"/>
        <v>0</v>
      </c>
    </row>
    <row r="227" spans="1:42" x14ac:dyDescent="0.25">
      <c r="A227" t="s">
        <v>30</v>
      </c>
      <c r="B227" s="22">
        <f>(deltaG($F$9,B223,$F$11,$F$12,$F$13,$F$14,$F$15))*$F$5*$F$6*$C$10/$A$2</f>
        <v>0</v>
      </c>
      <c r="C227" s="22">
        <f t="shared" ref="C227:AP227" si="31">(deltaG($F$9,C223,$F$11,$F$12,$F$13,$F$14,$F$15))*$F$5*$F$6*$C$10/$A$2</f>
        <v>0</v>
      </c>
      <c r="D227" s="22">
        <f t="shared" si="31"/>
        <v>0</v>
      </c>
      <c r="E227" s="22">
        <f t="shared" si="31"/>
        <v>0</v>
      </c>
      <c r="F227" s="22">
        <f t="shared" si="31"/>
        <v>0</v>
      </c>
      <c r="G227" s="22">
        <f t="shared" si="31"/>
        <v>0</v>
      </c>
      <c r="H227" s="22">
        <f t="shared" si="31"/>
        <v>0</v>
      </c>
      <c r="I227" s="22">
        <f t="shared" si="31"/>
        <v>0</v>
      </c>
      <c r="J227" s="22">
        <f t="shared" si="31"/>
        <v>0</v>
      </c>
      <c r="K227" s="22">
        <f t="shared" si="31"/>
        <v>0</v>
      </c>
      <c r="L227" s="22">
        <f t="shared" si="31"/>
        <v>0</v>
      </c>
      <c r="M227" s="22">
        <f t="shared" si="31"/>
        <v>0</v>
      </c>
      <c r="N227" s="22">
        <f t="shared" si="31"/>
        <v>0</v>
      </c>
      <c r="O227" s="22">
        <f t="shared" si="31"/>
        <v>0</v>
      </c>
      <c r="P227" s="22">
        <f t="shared" si="31"/>
        <v>0</v>
      </c>
      <c r="Q227" s="22">
        <f t="shared" si="31"/>
        <v>0</v>
      </c>
      <c r="R227" s="22">
        <f t="shared" si="31"/>
        <v>0</v>
      </c>
      <c r="S227" s="22">
        <f t="shared" si="31"/>
        <v>0</v>
      </c>
      <c r="T227" s="22">
        <f t="shared" si="31"/>
        <v>0</v>
      </c>
      <c r="U227" s="22">
        <f t="shared" si="31"/>
        <v>0</v>
      </c>
      <c r="V227" s="22">
        <f t="shared" si="31"/>
        <v>0</v>
      </c>
      <c r="W227" s="22">
        <f t="shared" si="31"/>
        <v>0</v>
      </c>
      <c r="X227" s="22">
        <f t="shared" si="31"/>
        <v>0</v>
      </c>
      <c r="Y227" s="22">
        <f t="shared" si="31"/>
        <v>0</v>
      </c>
      <c r="Z227" s="22">
        <f t="shared" si="31"/>
        <v>0</v>
      </c>
      <c r="AA227" s="22">
        <f t="shared" si="31"/>
        <v>0</v>
      </c>
      <c r="AB227" s="22">
        <f t="shared" si="31"/>
        <v>0</v>
      </c>
      <c r="AC227" s="22">
        <f t="shared" si="31"/>
        <v>0</v>
      </c>
      <c r="AD227" s="22">
        <f t="shared" si="31"/>
        <v>0</v>
      </c>
      <c r="AE227" s="22">
        <f t="shared" si="31"/>
        <v>0</v>
      </c>
      <c r="AF227" s="22">
        <f t="shared" si="31"/>
        <v>0</v>
      </c>
      <c r="AG227" s="22">
        <f t="shared" si="31"/>
        <v>0</v>
      </c>
      <c r="AH227" s="22">
        <f t="shared" si="31"/>
        <v>0</v>
      </c>
      <c r="AI227" s="22">
        <f t="shared" si="31"/>
        <v>0</v>
      </c>
      <c r="AJ227" s="22">
        <f t="shared" si="31"/>
        <v>0</v>
      </c>
      <c r="AK227" s="22">
        <f t="shared" si="31"/>
        <v>0</v>
      </c>
      <c r="AL227" s="22">
        <f t="shared" si="31"/>
        <v>0</v>
      </c>
      <c r="AM227" s="22">
        <f t="shared" si="31"/>
        <v>0</v>
      </c>
      <c r="AN227" s="22">
        <f t="shared" si="31"/>
        <v>0</v>
      </c>
      <c r="AO227" s="22">
        <f t="shared" si="31"/>
        <v>0</v>
      </c>
      <c r="AP227" s="22">
        <f t="shared" si="31"/>
        <v>0</v>
      </c>
    </row>
    <row r="228" spans="1:42" x14ac:dyDescent="0.25">
      <c r="A228" t="s">
        <v>6</v>
      </c>
      <c r="B228" s="22">
        <f>$G$20*$G$5*$G$6*$C$10/$A$2</f>
        <v>0</v>
      </c>
      <c r="C228" s="22">
        <f t="shared" ref="C228:AP228" si="32">$G$20*$G$5*$G$6*$C$10/$A$2</f>
        <v>0</v>
      </c>
      <c r="D228" s="22">
        <f t="shared" si="32"/>
        <v>0</v>
      </c>
      <c r="E228" s="22">
        <f t="shared" si="32"/>
        <v>0</v>
      </c>
      <c r="F228" s="22">
        <f t="shared" si="32"/>
        <v>0</v>
      </c>
      <c r="G228" s="22">
        <f t="shared" si="32"/>
        <v>0</v>
      </c>
      <c r="H228" s="22">
        <f t="shared" si="32"/>
        <v>0</v>
      </c>
      <c r="I228" s="22">
        <f t="shared" si="32"/>
        <v>0</v>
      </c>
      <c r="J228" s="22">
        <f t="shared" si="32"/>
        <v>0</v>
      </c>
      <c r="K228" s="22">
        <f t="shared" si="32"/>
        <v>0</v>
      </c>
      <c r="L228" s="22">
        <f t="shared" si="32"/>
        <v>0</v>
      </c>
      <c r="M228" s="22">
        <f t="shared" si="32"/>
        <v>0</v>
      </c>
      <c r="N228" s="22">
        <f t="shared" si="32"/>
        <v>0</v>
      </c>
      <c r="O228" s="22">
        <f t="shared" si="32"/>
        <v>0</v>
      </c>
      <c r="P228" s="22">
        <f t="shared" si="32"/>
        <v>0</v>
      </c>
      <c r="Q228" s="22">
        <f t="shared" si="32"/>
        <v>0</v>
      </c>
      <c r="R228" s="22">
        <f t="shared" si="32"/>
        <v>0</v>
      </c>
      <c r="S228" s="22">
        <f t="shared" si="32"/>
        <v>0</v>
      </c>
      <c r="T228" s="22">
        <f t="shared" si="32"/>
        <v>0</v>
      </c>
      <c r="U228" s="22">
        <f t="shared" si="32"/>
        <v>0</v>
      </c>
      <c r="V228" s="22">
        <f t="shared" si="32"/>
        <v>0</v>
      </c>
      <c r="W228" s="22">
        <f t="shared" si="32"/>
        <v>0</v>
      </c>
      <c r="X228" s="22">
        <f t="shared" si="32"/>
        <v>0</v>
      </c>
      <c r="Y228" s="22">
        <f t="shared" si="32"/>
        <v>0</v>
      </c>
      <c r="Z228" s="22">
        <f t="shared" si="32"/>
        <v>0</v>
      </c>
      <c r="AA228" s="22">
        <f t="shared" si="32"/>
        <v>0</v>
      </c>
      <c r="AB228" s="22">
        <f t="shared" si="32"/>
        <v>0</v>
      </c>
      <c r="AC228" s="22">
        <f t="shared" si="32"/>
        <v>0</v>
      </c>
      <c r="AD228" s="22">
        <f t="shared" si="32"/>
        <v>0</v>
      </c>
      <c r="AE228" s="22">
        <f t="shared" si="32"/>
        <v>0</v>
      </c>
      <c r="AF228" s="22">
        <f t="shared" si="32"/>
        <v>0</v>
      </c>
      <c r="AG228" s="22">
        <f t="shared" si="32"/>
        <v>0</v>
      </c>
      <c r="AH228" s="22">
        <f t="shared" si="32"/>
        <v>0</v>
      </c>
      <c r="AI228" s="22">
        <f t="shared" si="32"/>
        <v>0</v>
      </c>
      <c r="AJ228" s="22">
        <f t="shared" si="32"/>
        <v>0</v>
      </c>
      <c r="AK228" s="22">
        <f t="shared" si="32"/>
        <v>0</v>
      </c>
      <c r="AL228" s="22">
        <f t="shared" si="32"/>
        <v>0</v>
      </c>
      <c r="AM228" s="22">
        <f t="shared" si="32"/>
        <v>0</v>
      </c>
      <c r="AN228" s="22">
        <f t="shared" si="32"/>
        <v>0</v>
      </c>
      <c r="AO228" s="22">
        <f t="shared" si="32"/>
        <v>0</v>
      </c>
      <c r="AP228" s="22">
        <f t="shared" si="32"/>
        <v>0</v>
      </c>
    </row>
    <row r="229" spans="1:42" x14ac:dyDescent="0.25">
      <c r="A229" s="7" t="s">
        <v>37</v>
      </c>
      <c r="B229" s="21">
        <f>SUM(B224:B228)</f>
        <v>7.2010020073314503E-3</v>
      </c>
      <c r="C229" s="21">
        <f t="shared" ref="C229:V229" si="33">SUM(C224:C228)</f>
        <v>1.0195884730468245E-2</v>
      </c>
      <c r="D229" s="21">
        <f t="shared" si="33"/>
        <v>1.4196389046152169E-2</v>
      </c>
      <c r="E229" s="21">
        <f t="shared" si="33"/>
        <v>1.9445223520029017E-2</v>
      </c>
      <c r="F229" s="21">
        <f t="shared" si="33"/>
        <v>2.6211467098064128E-2</v>
      </c>
      <c r="G229" s="21">
        <f t="shared" si="33"/>
        <v>3.478362145520307E-2</v>
      </c>
      <c r="H229" s="61">
        <f t="shared" si="33"/>
        <v>4.5459621550105897E-2</v>
      </c>
      <c r="I229" s="61">
        <f t="shared" si="33"/>
        <v>5.8533959642438092E-2</v>
      </c>
      <c r="J229" s="61">
        <f t="shared" si="33"/>
        <v>7.4282397701753447E-2</v>
      </c>
      <c r="K229" s="61">
        <f t="shared" si="33"/>
        <v>9.294506775934501E-2</v>
      </c>
      <c r="L229" s="61">
        <f t="shared" si="33"/>
        <v>0.11470904820915617</v>
      </c>
      <c r="M229" s="61">
        <f t="shared" si="33"/>
        <v>0.13969171433300806</v>
      </c>
      <c r="N229" s="61">
        <f t="shared" si="33"/>
        <v>0.16792625697328459</v>
      </c>
      <c r="O229" s="61">
        <f t="shared" si="33"/>
        <v>0.19935071970849028</v>
      </c>
      <c r="P229" s="61">
        <f t="shared" si="33"/>
        <v>0.23380171421474619</v>
      </c>
      <c r="Q229" s="61">
        <f t="shared" si="33"/>
        <v>0.27101364701874636</v>
      </c>
      <c r="R229" s="61">
        <f t="shared" si="33"/>
        <v>0.31062385856605257</v>
      </c>
      <c r="S229" s="61">
        <f t="shared" si="33"/>
        <v>0.35218358263934169</v>
      </c>
      <c r="T229" s="61">
        <f t="shared" si="33"/>
        <v>0.39517413504454024</v>
      </c>
      <c r="U229" s="61">
        <f t="shared" si="33"/>
        <v>0.43902729117000894</v>
      </c>
      <c r="V229" s="61">
        <f t="shared" si="33"/>
        <v>0.48314846240560022</v>
      </c>
      <c r="W229" s="61">
        <f t="shared" ref="W229:AP229" si="34">SUM(W224:W228)</f>
        <v>0.52694106847339062</v>
      </c>
      <c r="X229" s="61">
        <f t="shared" si="34"/>
        <v>0.56983044590059617</v>
      </c>
      <c r="Y229" s="61">
        <f t="shared" si="34"/>
        <v>0.61128573213852844</v>
      </c>
      <c r="Z229" s="61">
        <f t="shared" si="34"/>
        <v>0.65083840175727681</v>
      </c>
      <c r="AA229" s="61">
        <f t="shared" si="34"/>
        <v>0.68809647244844785</v>
      </c>
      <c r="AB229" s="61">
        <f t="shared" si="34"/>
        <v>0.7227538015395526</v>
      </c>
      <c r="AC229" s="61">
        <f t="shared" si="34"/>
        <v>0.75459431244788877</v>
      </c>
      <c r="AD229" s="61">
        <f t="shared" si="34"/>
        <v>0.78349138189289447</v>
      </c>
      <c r="AE229" s="61">
        <f t="shared" si="34"/>
        <v>0.80940294745917196</v>
      </c>
      <c r="AF229" s="61">
        <f t="shared" si="34"/>
        <v>0.83236313709363663</v>
      </c>
      <c r="AG229" s="61">
        <f t="shared" si="34"/>
        <v>0.85247136569179682</v>
      </c>
      <c r="AH229" s="61">
        <f t="shared" si="34"/>
        <v>0.8698798895443175</v>
      </c>
      <c r="AI229" s="61">
        <f t="shared" si="34"/>
        <v>0.88478076772624537</v>
      </c>
      <c r="AJ229" s="61">
        <f t="shared" si="34"/>
        <v>0.89739306846393807</v>
      </c>
      <c r="AK229" s="61">
        <f t="shared" si="34"/>
        <v>0.9079510000474349</v>
      </c>
      <c r="AL229" s="61">
        <f t="shared" si="34"/>
        <v>0.91669346270976793</v>
      </c>
      <c r="AM229" s="61">
        <f t="shared" si="34"/>
        <v>0.92385533093689887</v>
      </c>
      <c r="AN229" s="61">
        <f t="shared" si="34"/>
        <v>0.92966060198642819</v>
      </c>
      <c r="AO229" s="61">
        <f t="shared" si="34"/>
        <v>0.93431739822130655</v>
      </c>
      <c r="AP229" s="61">
        <f t="shared" si="34"/>
        <v>0.93801469534895676</v>
      </c>
    </row>
    <row r="230" spans="1:42" x14ac:dyDescent="0.25">
      <c r="B230" s="19">
        <f>B223</f>
        <v>1710</v>
      </c>
      <c r="C230" s="19">
        <f t="shared" ref="C230:V230" si="35">C223</f>
        <v>1719.5</v>
      </c>
      <c r="D230" s="19">
        <f t="shared" si="35"/>
        <v>1729</v>
      </c>
      <c r="E230" s="19">
        <f t="shared" si="35"/>
        <v>1738.5</v>
      </c>
      <c r="F230" s="19">
        <f t="shared" si="35"/>
        <v>1748</v>
      </c>
      <c r="G230" s="19">
        <f t="shared" si="35"/>
        <v>1757.5</v>
      </c>
      <c r="H230" s="60">
        <f t="shared" si="35"/>
        <v>1766.9999999999998</v>
      </c>
      <c r="I230" s="60">
        <f t="shared" si="35"/>
        <v>1776.5</v>
      </c>
      <c r="J230" s="60">
        <f t="shared" si="35"/>
        <v>1786</v>
      </c>
      <c r="K230" s="60">
        <f t="shared" si="35"/>
        <v>1795.5</v>
      </c>
      <c r="L230" s="60">
        <f>L223</f>
        <v>1805</v>
      </c>
      <c r="M230" s="60">
        <f t="shared" si="35"/>
        <v>1814.5</v>
      </c>
      <c r="N230" s="60">
        <f t="shared" si="35"/>
        <v>1824</v>
      </c>
      <c r="O230" s="60">
        <f t="shared" si="35"/>
        <v>1833.5</v>
      </c>
      <c r="P230" s="60">
        <f t="shared" si="35"/>
        <v>1843</v>
      </c>
      <c r="Q230" s="60">
        <f t="shared" si="35"/>
        <v>1852.5</v>
      </c>
      <c r="R230" s="60">
        <f t="shared" si="35"/>
        <v>1862</v>
      </c>
      <c r="S230" s="60">
        <f t="shared" si="35"/>
        <v>1871.5</v>
      </c>
      <c r="T230" s="60">
        <f t="shared" si="35"/>
        <v>1881</v>
      </c>
      <c r="U230" s="60">
        <f t="shared" si="35"/>
        <v>1890.5</v>
      </c>
      <c r="V230" s="60">
        <f t="shared" si="35"/>
        <v>1900</v>
      </c>
      <c r="W230" s="60">
        <f t="shared" ref="W230:AP230" si="36">W223</f>
        <v>1909.4999999999998</v>
      </c>
      <c r="X230" s="60">
        <f t="shared" si="36"/>
        <v>1919</v>
      </c>
      <c r="Y230" s="60">
        <f t="shared" si="36"/>
        <v>1928.4999999999998</v>
      </c>
      <c r="Z230" s="60">
        <f t="shared" si="36"/>
        <v>1938</v>
      </c>
      <c r="AA230" s="60">
        <f t="shared" si="36"/>
        <v>1947.4999999999998</v>
      </c>
      <c r="AB230" s="60">
        <f t="shared" si="36"/>
        <v>1957</v>
      </c>
      <c r="AC230" s="60">
        <f t="shared" si="36"/>
        <v>1966.4999999999998</v>
      </c>
      <c r="AD230" s="60">
        <f t="shared" si="36"/>
        <v>1976</v>
      </c>
      <c r="AE230" s="60">
        <f t="shared" si="36"/>
        <v>1985.4999999999998</v>
      </c>
      <c r="AF230" s="60">
        <f t="shared" si="36"/>
        <v>1995</v>
      </c>
      <c r="AG230" s="60">
        <f t="shared" si="36"/>
        <v>2004.4999999999998</v>
      </c>
      <c r="AH230" s="60">
        <f t="shared" si="36"/>
        <v>2014</v>
      </c>
      <c r="AI230" s="60">
        <f t="shared" si="36"/>
        <v>2023.5</v>
      </c>
      <c r="AJ230" s="60">
        <f t="shared" si="36"/>
        <v>2033.0000000000002</v>
      </c>
      <c r="AK230" s="60">
        <f t="shared" si="36"/>
        <v>2042.5</v>
      </c>
      <c r="AL230" s="60">
        <f t="shared" si="36"/>
        <v>2052</v>
      </c>
      <c r="AM230" s="60">
        <f t="shared" si="36"/>
        <v>2061.5</v>
      </c>
      <c r="AN230" s="60">
        <f t="shared" si="36"/>
        <v>2071</v>
      </c>
      <c r="AO230" s="60">
        <f t="shared" si="36"/>
        <v>2080.5</v>
      </c>
      <c r="AP230" s="60">
        <f t="shared" si="36"/>
        <v>2090</v>
      </c>
    </row>
    <row r="231" spans="1:42" x14ac:dyDescent="0.25">
      <c r="A231" t="s">
        <v>27</v>
      </c>
      <c r="B231" s="22">
        <f>(deltaG($C$9,B230,$C$11,$C$12,$C$13,$C$14-$A$40,$C$15*(1+$A$43)))*$C$5*$C$6*$C$10/$A$2</f>
        <v>2.6660450754113248E-4</v>
      </c>
      <c r="C231" s="22">
        <f t="shared" ref="C231:AP231" si="37">(deltaG($C$9,C230,$C$11,$C$12,$C$13,$C$14-$A$40,$C$15*(1+$A$43)))*$C$5*$C$6*$C$10/$A$2</f>
        <v>5.1542747322959044E-4</v>
      </c>
      <c r="D231" s="22">
        <f t="shared" si="37"/>
        <v>9.6269999064596816E-4</v>
      </c>
      <c r="E231" s="22">
        <f t="shared" si="37"/>
        <v>1.7383920513412141E-3</v>
      </c>
      <c r="F231" s="22">
        <f t="shared" si="37"/>
        <v>3.0370290582942432E-3</v>
      </c>
      <c r="G231" s="22">
        <f t="shared" si="37"/>
        <v>5.1369773895810714E-3</v>
      </c>
      <c r="H231" s="22">
        <f t="shared" si="37"/>
        <v>8.4185972564412171E-3</v>
      </c>
      <c r="I231" s="22">
        <f t="shared" si="37"/>
        <v>1.3377191952693686E-2</v>
      </c>
      <c r="J231" s="22">
        <f t="shared" si="37"/>
        <v>2.0625673030995179E-2</v>
      </c>
      <c r="K231" s="22">
        <f t="shared" si="37"/>
        <v>3.0881637090295996E-2</v>
      </c>
      <c r="L231" s="22">
        <f t="shared" si="37"/>
        <v>4.4934532780888471E-2</v>
      </c>
      <c r="M231" s="22">
        <f t="shared" si="37"/>
        <v>6.3591009107914126E-2</v>
      </c>
      <c r="N231" s="22">
        <f t="shared" si="37"/>
        <v>8.7600250841446584E-2</v>
      </c>
      <c r="O231" s="22">
        <f t="shared" si="37"/>
        <v>0.11756556859131512</v>
      </c>
      <c r="P231" s="22">
        <f t="shared" si="37"/>
        <v>0.15385278684139914</v>
      </c>
      <c r="Q231" s="22">
        <f t="shared" si="37"/>
        <v>0.1965089470808932</v>
      </c>
      <c r="R231" s="22">
        <f t="shared" si="37"/>
        <v>0.2452055188362387</v>
      </c>
      <c r="S231" s="22">
        <f t="shared" si="37"/>
        <v>0.29921813436927897</v>
      </c>
      <c r="T231" s="22">
        <f t="shared" si="37"/>
        <v>0.35744995113027767</v>
      </c>
      <c r="U231" s="22">
        <f t="shared" si="37"/>
        <v>0.41849893730787091</v>
      </c>
      <c r="V231" s="22">
        <f t="shared" si="37"/>
        <v>0.48076205500568636</v>
      </c>
      <c r="W231" s="22">
        <f t="shared" si="37"/>
        <v>0.54256306534269905</v>
      </c>
      <c r="X231" s="22">
        <f t="shared" si="37"/>
        <v>0.60228685909937119</v>
      </c>
      <c r="Y231" s="22">
        <f t="shared" si="37"/>
        <v>0.6585026011949725</v>
      </c>
      <c r="Z231" s="22">
        <f t="shared" si="37"/>
        <v>0.71006057367378472</v>
      </c>
      <c r="AA231" s="22">
        <f t="shared" si="37"/>
        <v>0.75615268446450901</v>
      </c>
      <c r="AB231" s="22">
        <f t="shared" si="37"/>
        <v>0.79633295615066346</v>
      </c>
      <c r="AC231" s="22">
        <f t="shared" si="37"/>
        <v>0.830500549389808</v>
      </c>
      <c r="AD231" s="22">
        <f t="shared" si="37"/>
        <v>0.85885283541727864</v>
      </c>
      <c r="AE231" s="22">
        <f t="shared" si="37"/>
        <v>0.88181898139930381</v>
      </c>
      <c r="AF231" s="22">
        <f t="shared" si="37"/>
        <v>0.89998526056486539</v>
      </c>
      <c r="AG231" s="22">
        <f t="shared" si="37"/>
        <v>0.91402213806163946</v>
      </c>
      <c r="AH231" s="22">
        <f t="shared" si="37"/>
        <v>0.92462072479013691</v>
      </c>
      <c r="AI231" s="22">
        <f t="shared" si="37"/>
        <v>0.93244316157296747</v>
      </c>
      <c r="AJ231" s="22">
        <f t="shared" si="37"/>
        <v>0.93808855330959207</v>
      </c>
      <c r="AK231" s="22">
        <f t="shared" si="37"/>
        <v>0.94207368670103664</v>
      </c>
      <c r="AL231" s="22">
        <f t="shared" si="37"/>
        <v>0.94482617114434853</v>
      </c>
      <c r="AM231" s="22">
        <f t="shared" si="37"/>
        <v>0.9466868621867679</v>
      </c>
      <c r="AN231" s="22">
        <f t="shared" si="37"/>
        <v>0.94791832960525269</v>
      </c>
      <c r="AO231" s="22">
        <f t="shared" si="37"/>
        <v>0.94871650899273474</v>
      </c>
      <c r="AP231" s="22">
        <f t="shared" si="37"/>
        <v>0.94922330652712905</v>
      </c>
    </row>
    <row r="232" spans="1:42" x14ac:dyDescent="0.25">
      <c r="A232" t="s">
        <v>28</v>
      </c>
      <c r="B232" s="22">
        <f>(deltaG($D$9,B230,$D$11,$D$12,$D$13,$D$14-$A$40,$D$15*(1+$A$43)))*$D$5*$D$6*$C$10/$A$2</f>
        <v>0</v>
      </c>
      <c r="C232" s="22">
        <f t="shared" ref="C232:AP232" si="38">(deltaG($D$9,C230,$D$11,$D$12,$D$13,$D$14-$A$40,$D$15*(1+$A$43)))*$D$5*$D$6*$C$10/$A$2</f>
        <v>0</v>
      </c>
      <c r="D232" s="22">
        <f t="shared" si="38"/>
        <v>0</v>
      </c>
      <c r="E232" s="22">
        <f t="shared" si="38"/>
        <v>0</v>
      </c>
      <c r="F232" s="22">
        <f t="shared" si="38"/>
        <v>0</v>
      </c>
      <c r="G232" s="22">
        <f t="shared" si="38"/>
        <v>0</v>
      </c>
      <c r="H232" s="22">
        <f t="shared" si="38"/>
        <v>0</v>
      </c>
      <c r="I232" s="22">
        <f t="shared" si="38"/>
        <v>0</v>
      </c>
      <c r="J232" s="22">
        <f t="shared" si="38"/>
        <v>0</v>
      </c>
      <c r="K232" s="22">
        <f t="shared" si="38"/>
        <v>0</v>
      </c>
      <c r="L232" s="22">
        <f t="shared" si="38"/>
        <v>0</v>
      </c>
      <c r="M232" s="22">
        <f t="shared" si="38"/>
        <v>0</v>
      </c>
      <c r="N232" s="22">
        <f t="shared" si="38"/>
        <v>0</v>
      </c>
      <c r="O232" s="22">
        <f t="shared" si="38"/>
        <v>0</v>
      </c>
      <c r="P232" s="22">
        <f t="shared" si="38"/>
        <v>0</v>
      </c>
      <c r="Q232" s="22">
        <f t="shared" si="38"/>
        <v>0</v>
      </c>
      <c r="R232" s="22">
        <f t="shared" si="38"/>
        <v>0</v>
      </c>
      <c r="S232" s="22">
        <f t="shared" si="38"/>
        <v>0</v>
      </c>
      <c r="T232" s="22">
        <f t="shared" si="38"/>
        <v>0</v>
      </c>
      <c r="U232" s="22">
        <f t="shared" si="38"/>
        <v>0</v>
      </c>
      <c r="V232" s="22">
        <f t="shared" si="38"/>
        <v>0</v>
      </c>
      <c r="W232" s="22">
        <f t="shared" si="38"/>
        <v>0</v>
      </c>
      <c r="X232" s="22">
        <f t="shared" si="38"/>
        <v>0</v>
      </c>
      <c r="Y232" s="22">
        <f t="shared" si="38"/>
        <v>0</v>
      </c>
      <c r="Z232" s="22">
        <f t="shared" si="38"/>
        <v>0</v>
      </c>
      <c r="AA232" s="22">
        <f t="shared" si="38"/>
        <v>0</v>
      </c>
      <c r="AB232" s="22">
        <f t="shared" si="38"/>
        <v>0</v>
      </c>
      <c r="AC232" s="22">
        <f t="shared" si="38"/>
        <v>0</v>
      </c>
      <c r="AD232" s="22">
        <f t="shared" si="38"/>
        <v>0</v>
      </c>
      <c r="AE232" s="22">
        <f t="shared" si="38"/>
        <v>0</v>
      </c>
      <c r="AF232" s="22">
        <f t="shared" si="38"/>
        <v>0</v>
      </c>
      <c r="AG232" s="22">
        <f t="shared" si="38"/>
        <v>0</v>
      </c>
      <c r="AH232" s="22">
        <f t="shared" si="38"/>
        <v>0</v>
      </c>
      <c r="AI232" s="22">
        <f t="shared" si="38"/>
        <v>0</v>
      </c>
      <c r="AJ232" s="22">
        <f t="shared" si="38"/>
        <v>0</v>
      </c>
      <c r="AK232" s="22">
        <f t="shared" si="38"/>
        <v>0</v>
      </c>
      <c r="AL232" s="22">
        <f t="shared" si="38"/>
        <v>0</v>
      </c>
      <c r="AM232" s="22">
        <f t="shared" si="38"/>
        <v>0</v>
      </c>
      <c r="AN232" s="22">
        <f t="shared" si="38"/>
        <v>0</v>
      </c>
      <c r="AO232" s="22">
        <f t="shared" si="38"/>
        <v>0</v>
      </c>
      <c r="AP232" s="22">
        <f t="shared" si="38"/>
        <v>0</v>
      </c>
    </row>
    <row r="233" spans="1:42" x14ac:dyDescent="0.25">
      <c r="A233" t="s">
        <v>29</v>
      </c>
      <c r="B233" s="22">
        <f>(deltaG($E$9,B230,$E$11,$E$12,$E$13,$E$14-$A$40,$E$15*(1+$A$43)))*$E$5*$E$6*$C$10/$A$2</f>
        <v>0</v>
      </c>
      <c r="C233" s="22">
        <f t="shared" ref="C233:AP233" si="39">(deltaG($E$9,C230,$E$11,$E$12,$E$13,$E$14-$A$40,$E$15*(1+$A$43)))*$E$5*$E$6*$C$10/$A$2</f>
        <v>0</v>
      </c>
      <c r="D233" s="22">
        <f t="shared" si="39"/>
        <v>0</v>
      </c>
      <c r="E233" s="22">
        <f t="shared" si="39"/>
        <v>0</v>
      </c>
      <c r="F233" s="22">
        <f t="shared" si="39"/>
        <v>0</v>
      </c>
      <c r="G233" s="22">
        <f t="shared" si="39"/>
        <v>0</v>
      </c>
      <c r="H233" s="22">
        <f t="shared" si="39"/>
        <v>0</v>
      </c>
      <c r="I233" s="22">
        <f t="shared" si="39"/>
        <v>0</v>
      </c>
      <c r="J233" s="22">
        <f t="shared" si="39"/>
        <v>0</v>
      </c>
      <c r="K233" s="22">
        <f t="shared" si="39"/>
        <v>0</v>
      </c>
      <c r="L233" s="22">
        <f t="shared" si="39"/>
        <v>0</v>
      </c>
      <c r="M233" s="22">
        <f t="shared" si="39"/>
        <v>0</v>
      </c>
      <c r="N233" s="22">
        <f t="shared" si="39"/>
        <v>0</v>
      </c>
      <c r="O233" s="22">
        <f t="shared" si="39"/>
        <v>0</v>
      </c>
      <c r="P233" s="22">
        <f t="shared" si="39"/>
        <v>0</v>
      </c>
      <c r="Q233" s="22">
        <f t="shared" si="39"/>
        <v>0</v>
      </c>
      <c r="R233" s="22">
        <f t="shared" si="39"/>
        <v>0</v>
      </c>
      <c r="S233" s="22">
        <f t="shared" si="39"/>
        <v>0</v>
      </c>
      <c r="T233" s="22">
        <f t="shared" si="39"/>
        <v>0</v>
      </c>
      <c r="U233" s="22">
        <f t="shared" si="39"/>
        <v>0</v>
      </c>
      <c r="V233" s="22">
        <f t="shared" si="39"/>
        <v>0</v>
      </c>
      <c r="W233" s="22">
        <f t="shared" si="39"/>
        <v>0</v>
      </c>
      <c r="X233" s="22">
        <f t="shared" si="39"/>
        <v>0</v>
      </c>
      <c r="Y233" s="22">
        <f t="shared" si="39"/>
        <v>0</v>
      </c>
      <c r="Z233" s="22">
        <f t="shared" si="39"/>
        <v>0</v>
      </c>
      <c r="AA233" s="22">
        <f t="shared" si="39"/>
        <v>0</v>
      </c>
      <c r="AB233" s="22">
        <f t="shared" si="39"/>
        <v>0</v>
      </c>
      <c r="AC233" s="22">
        <f t="shared" si="39"/>
        <v>0</v>
      </c>
      <c r="AD233" s="22">
        <f t="shared" si="39"/>
        <v>0</v>
      </c>
      <c r="AE233" s="22">
        <f t="shared" si="39"/>
        <v>0</v>
      </c>
      <c r="AF233" s="22">
        <f t="shared" si="39"/>
        <v>0</v>
      </c>
      <c r="AG233" s="22">
        <f t="shared" si="39"/>
        <v>0</v>
      </c>
      <c r="AH233" s="22">
        <f t="shared" si="39"/>
        <v>0</v>
      </c>
      <c r="AI233" s="22">
        <f t="shared" si="39"/>
        <v>0</v>
      </c>
      <c r="AJ233" s="22">
        <f t="shared" si="39"/>
        <v>0</v>
      </c>
      <c r="AK233" s="22">
        <f t="shared" si="39"/>
        <v>0</v>
      </c>
      <c r="AL233" s="22">
        <f t="shared" si="39"/>
        <v>0</v>
      </c>
      <c r="AM233" s="22">
        <f t="shared" si="39"/>
        <v>0</v>
      </c>
      <c r="AN233" s="22">
        <f t="shared" si="39"/>
        <v>0</v>
      </c>
      <c r="AO233" s="22">
        <f t="shared" si="39"/>
        <v>0</v>
      </c>
      <c r="AP233" s="22">
        <f t="shared" si="39"/>
        <v>0</v>
      </c>
    </row>
    <row r="234" spans="1:42" x14ac:dyDescent="0.25">
      <c r="A234" t="s">
        <v>30</v>
      </c>
      <c r="B234" s="22">
        <f>(deltaG($F$9,B230,$F$11,$F$12,$F$13,$F$14-$A$40,$F$15*(1+$A$43)))*$F$5*$F$6*$C$10/$A$2</f>
        <v>0</v>
      </c>
      <c r="C234" s="22">
        <f t="shared" ref="C234:AP234" si="40">(deltaG($F$9,C230,$F$11,$F$12,$F$13,$F$14-$A$40,$F$15*(1+$A$43)))*$F$5*$F$6*$C$10/$A$2</f>
        <v>0</v>
      </c>
      <c r="D234" s="22">
        <f t="shared" si="40"/>
        <v>0</v>
      </c>
      <c r="E234" s="22">
        <f t="shared" si="40"/>
        <v>0</v>
      </c>
      <c r="F234" s="22">
        <f t="shared" si="40"/>
        <v>0</v>
      </c>
      <c r="G234" s="22">
        <f t="shared" si="40"/>
        <v>0</v>
      </c>
      <c r="H234" s="22">
        <f t="shared" si="40"/>
        <v>0</v>
      </c>
      <c r="I234" s="22">
        <f t="shared" si="40"/>
        <v>0</v>
      </c>
      <c r="J234" s="22">
        <f t="shared" si="40"/>
        <v>0</v>
      </c>
      <c r="K234" s="22">
        <f t="shared" si="40"/>
        <v>0</v>
      </c>
      <c r="L234" s="22">
        <f t="shared" si="40"/>
        <v>0</v>
      </c>
      <c r="M234" s="22">
        <f t="shared" si="40"/>
        <v>0</v>
      </c>
      <c r="N234" s="22">
        <f t="shared" si="40"/>
        <v>0</v>
      </c>
      <c r="O234" s="22">
        <f t="shared" si="40"/>
        <v>0</v>
      </c>
      <c r="P234" s="22">
        <f t="shared" si="40"/>
        <v>0</v>
      </c>
      <c r="Q234" s="22">
        <f t="shared" si="40"/>
        <v>0</v>
      </c>
      <c r="R234" s="22">
        <f t="shared" si="40"/>
        <v>0</v>
      </c>
      <c r="S234" s="22">
        <f t="shared" si="40"/>
        <v>0</v>
      </c>
      <c r="T234" s="22">
        <f t="shared" si="40"/>
        <v>0</v>
      </c>
      <c r="U234" s="22">
        <f t="shared" si="40"/>
        <v>0</v>
      </c>
      <c r="V234" s="22">
        <f t="shared" si="40"/>
        <v>0</v>
      </c>
      <c r="W234" s="22">
        <f t="shared" si="40"/>
        <v>0</v>
      </c>
      <c r="X234" s="22">
        <f t="shared" si="40"/>
        <v>0</v>
      </c>
      <c r="Y234" s="22">
        <f t="shared" si="40"/>
        <v>0</v>
      </c>
      <c r="Z234" s="22">
        <f t="shared" si="40"/>
        <v>0</v>
      </c>
      <c r="AA234" s="22">
        <f t="shared" si="40"/>
        <v>0</v>
      </c>
      <c r="AB234" s="22">
        <f t="shared" si="40"/>
        <v>0</v>
      </c>
      <c r="AC234" s="22">
        <f t="shared" si="40"/>
        <v>0</v>
      </c>
      <c r="AD234" s="22">
        <f t="shared" si="40"/>
        <v>0</v>
      </c>
      <c r="AE234" s="22">
        <f t="shared" si="40"/>
        <v>0</v>
      </c>
      <c r="AF234" s="22">
        <f t="shared" si="40"/>
        <v>0</v>
      </c>
      <c r="AG234" s="22">
        <f t="shared" si="40"/>
        <v>0</v>
      </c>
      <c r="AH234" s="22">
        <f t="shared" si="40"/>
        <v>0</v>
      </c>
      <c r="AI234" s="22">
        <f t="shared" si="40"/>
        <v>0</v>
      </c>
      <c r="AJ234" s="22">
        <f t="shared" si="40"/>
        <v>0</v>
      </c>
      <c r="AK234" s="22">
        <f t="shared" si="40"/>
        <v>0</v>
      </c>
      <c r="AL234" s="22">
        <f t="shared" si="40"/>
        <v>0</v>
      </c>
      <c r="AM234" s="22">
        <f t="shared" si="40"/>
        <v>0</v>
      </c>
      <c r="AN234" s="22">
        <f t="shared" si="40"/>
        <v>0</v>
      </c>
      <c r="AO234" s="22">
        <f t="shared" si="40"/>
        <v>0</v>
      </c>
      <c r="AP234" s="22">
        <f t="shared" si="40"/>
        <v>0</v>
      </c>
    </row>
    <row r="235" spans="1:42" x14ac:dyDescent="0.25">
      <c r="A235" t="s">
        <v>6</v>
      </c>
      <c r="B235" s="22">
        <f>$G$20*$G$5*$G$6*$C$10/$A$2</f>
        <v>0</v>
      </c>
      <c r="C235" s="22">
        <f t="shared" ref="C235:AP235" si="41">$G$20*$G$5*$G$6*$C$10/$A$2</f>
        <v>0</v>
      </c>
      <c r="D235" s="22">
        <f t="shared" si="41"/>
        <v>0</v>
      </c>
      <c r="E235" s="22">
        <f t="shared" si="41"/>
        <v>0</v>
      </c>
      <c r="F235" s="22">
        <f t="shared" si="41"/>
        <v>0</v>
      </c>
      <c r="G235" s="22">
        <f t="shared" si="41"/>
        <v>0</v>
      </c>
      <c r="H235" s="22">
        <f t="shared" si="41"/>
        <v>0</v>
      </c>
      <c r="I235" s="22">
        <f t="shared" si="41"/>
        <v>0</v>
      </c>
      <c r="J235" s="22">
        <f t="shared" si="41"/>
        <v>0</v>
      </c>
      <c r="K235" s="22">
        <f t="shared" si="41"/>
        <v>0</v>
      </c>
      <c r="L235" s="22">
        <f t="shared" si="41"/>
        <v>0</v>
      </c>
      <c r="M235" s="22">
        <f t="shared" si="41"/>
        <v>0</v>
      </c>
      <c r="N235" s="22">
        <f t="shared" si="41"/>
        <v>0</v>
      </c>
      <c r="O235" s="22">
        <f t="shared" si="41"/>
        <v>0</v>
      </c>
      <c r="P235" s="22">
        <f t="shared" si="41"/>
        <v>0</v>
      </c>
      <c r="Q235" s="22">
        <f t="shared" si="41"/>
        <v>0</v>
      </c>
      <c r="R235" s="22">
        <f t="shared" si="41"/>
        <v>0</v>
      </c>
      <c r="S235" s="22">
        <f t="shared" si="41"/>
        <v>0</v>
      </c>
      <c r="T235" s="22">
        <f t="shared" si="41"/>
        <v>0</v>
      </c>
      <c r="U235" s="22">
        <f t="shared" si="41"/>
        <v>0</v>
      </c>
      <c r="V235" s="22">
        <f t="shared" si="41"/>
        <v>0</v>
      </c>
      <c r="W235" s="22">
        <f t="shared" si="41"/>
        <v>0</v>
      </c>
      <c r="X235" s="22">
        <f t="shared" si="41"/>
        <v>0</v>
      </c>
      <c r="Y235" s="22">
        <f t="shared" si="41"/>
        <v>0</v>
      </c>
      <c r="Z235" s="22">
        <f t="shared" si="41"/>
        <v>0</v>
      </c>
      <c r="AA235" s="22">
        <f t="shared" si="41"/>
        <v>0</v>
      </c>
      <c r="AB235" s="22">
        <f t="shared" si="41"/>
        <v>0</v>
      </c>
      <c r="AC235" s="22">
        <f t="shared" si="41"/>
        <v>0</v>
      </c>
      <c r="AD235" s="22">
        <f t="shared" si="41"/>
        <v>0</v>
      </c>
      <c r="AE235" s="22">
        <f t="shared" si="41"/>
        <v>0</v>
      </c>
      <c r="AF235" s="22">
        <f t="shared" si="41"/>
        <v>0</v>
      </c>
      <c r="AG235" s="22">
        <f t="shared" si="41"/>
        <v>0</v>
      </c>
      <c r="AH235" s="22">
        <f t="shared" si="41"/>
        <v>0</v>
      </c>
      <c r="AI235" s="22">
        <f t="shared" si="41"/>
        <v>0</v>
      </c>
      <c r="AJ235" s="22">
        <f t="shared" si="41"/>
        <v>0</v>
      </c>
      <c r="AK235" s="22">
        <f t="shared" si="41"/>
        <v>0</v>
      </c>
      <c r="AL235" s="22">
        <f t="shared" si="41"/>
        <v>0</v>
      </c>
      <c r="AM235" s="22">
        <f t="shared" si="41"/>
        <v>0</v>
      </c>
      <c r="AN235" s="22">
        <f t="shared" si="41"/>
        <v>0</v>
      </c>
      <c r="AO235" s="22">
        <f t="shared" si="41"/>
        <v>0</v>
      </c>
      <c r="AP235" s="22">
        <f t="shared" si="41"/>
        <v>0</v>
      </c>
    </row>
    <row r="236" spans="1:42" x14ac:dyDescent="0.25">
      <c r="A236" s="7" t="s">
        <v>37</v>
      </c>
      <c r="B236" s="21">
        <f t="shared" ref="B236:V236" si="42">SUM(B231:B235)</f>
        <v>2.6660450754113248E-4</v>
      </c>
      <c r="C236" s="21">
        <f t="shared" si="42"/>
        <v>5.1542747322959044E-4</v>
      </c>
      <c r="D236" s="21">
        <f t="shared" si="42"/>
        <v>9.6269999064596816E-4</v>
      </c>
      <c r="E236" s="21">
        <f t="shared" si="42"/>
        <v>1.7383920513412141E-3</v>
      </c>
      <c r="F236" s="21">
        <f t="shared" si="42"/>
        <v>3.0370290582942432E-3</v>
      </c>
      <c r="G236" s="21">
        <f t="shared" si="42"/>
        <v>5.1369773895810714E-3</v>
      </c>
      <c r="H236" s="61">
        <f t="shared" si="42"/>
        <v>8.4185972564412171E-3</v>
      </c>
      <c r="I236" s="61">
        <f t="shared" si="42"/>
        <v>1.3377191952693686E-2</v>
      </c>
      <c r="J236" s="61">
        <f t="shared" si="42"/>
        <v>2.0625673030995179E-2</v>
      </c>
      <c r="K236" s="61">
        <f t="shared" si="42"/>
        <v>3.0881637090295996E-2</v>
      </c>
      <c r="L236" s="61">
        <f t="shared" si="42"/>
        <v>4.4934532780888471E-2</v>
      </c>
      <c r="M236" s="61">
        <f t="shared" si="42"/>
        <v>6.3591009107914126E-2</v>
      </c>
      <c r="N236" s="61">
        <f t="shared" si="42"/>
        <v>8.7600250841446584E-2</v>
      </c>
      <c r="O236" s="61">
        <f t="shared" si="42"/>
        <v>0.11756556859131512</v>
      </c>
      <c r="P236" s="61">
        <f t="shared" si="42"/>
        <v>0.15385278684139914</v>
      </c>
      <c r="Q236" s="61">
        <f t="shared" si="42"/>
        <v>0.1965089470808932</v>
      </c>
      <c r="R236" s="61">
        <f t="shared" si="42"/>
        <v>0.2452055188362387</v>
      </c>
      <c r="S236" s="61">
        <f t="shared" si="42"/>
        <v>0.29921813436927897</v>
      </c>
      <c r="T236" s="61">
        <f t="shared" si="42"/>
        <v>0.35744995113027767</v>
      </c>
      <c r="U236" s="61">
        <f t="shared" si="42"/>
        <v>0.41849893730787091</v>
      </c>
      <c r="V236" s="61">
        <f t="shared" si="42"/>
        <v>0.48076205500568636</v>
      </c>
      <c r="W236" s="61">
        <f t="shared" ref="W236:AP236" si="43">SUM(W231:W235)</f>
        <v>0.54256306534269905</v>
      </c>
      <c r="X236" s="61">
        <f t="shared" si="43"/>
        <v>0.60228685909937119</v>
      </c>
      <c r="Y236" s="61">
        <f t="shared" si="43"/>
        <v>0.6585026011949725</v>
      </c>
      <c r="Z236" s="61">
        <f t="shared" si="43"/>
        <v>0.71006057367378472</v>
      </c>
      <c r="AA236" s="61">
        <f t="shared" si="43"/>
        <v>0.75615268446450901</v>
      </c>
      <c r="AB236" s="61">
        <f t="shared" si="43"/>
        <v>0.79633295615066346</v>
      </c>
      <c r="AC236" s="61">
        <f t="shared" si="43"/>
        <v>0.830500549389808</v>
      </c>
      <c r="AD236" s="61">
        <f t="shared" si="43"/>
        <v>0.85885283541727864</v>
      </c>
      <c r="AE236" s="61">
        <f t="shared" si="43"/>
        <v>0.88181898139930381</v>
      </c>
      <c r="AF236" s="61">
        <f t="shared" si="43"/>
        <v>0.89998526056486539</v>
      </c>
      <c r="AG236" s="61">
        <f t="shared" si="43"/>
        <v>0.91402213806163946</v>
      </c>
      <c r="AH236" s="61">
        <f t="shared" si="43"/>
        <v>0.92462072479013691</v>
      </c>
      <c r="AI236" s="61">
        <f t="shared" si="43"/>
        <v>0.93244316157296747</v>
      </c>
      <c r="AJ236" s="61">
        <f t="shared" si="43"/>
        <v>0.93808855330959207</v>
      </c>
      <c r="AK236" s="61">
        <f t="shared" si="43"/>
        <v>0.94207368670103664</v>
      </c>
      <c r="AL236" s="61">
        <f t="shared" si="43"/>
        <v>0.94482617114434853</v>
      </c>
      <c r="AM236" s="61">
        <f t="shared" si="43"/>
        <v>0.9466868621867679</v>
      </c>
      <c r="AN236" s="61">
        <f t="shared" si="43"/>
        <v>0.94791832960525269</v>
      </c>
      <c r="AO236" s="61">
        <f t="shared" si="43"/>
        <v>0.94871650899273474</v>
      </c>
      <c r="AP236" s="61">
        <f t="shared" si="43"/>
        <v>0.94922330652712905</v>
      </c>
    </row>
    <row r="239" spans="1:42" x14ac:dyDescent="0.25">
      <c r="A239" s="7" t="s">
        <v>38</v>
      </c>
      <c r="B239" s="18">
        <f>$A$37*-20</f>
        <v>-0.1</v>
      </c>
      <c r="C239" s="18">
        <f>$A$37*-19</f>
        <v>-9.5000000000000001E-2</v>
      </c>
      <c r="D239" s="18">
        <f>$A$37*-18</f>
        <v>-0.09</v>
      </c>
      <c r="E239" s="18">
        <f>$A$37*-17</f>
        <v>-8.5000000000000006E-2</v>
      </c>
      <c r="F239" s="18">
        <f>$A$37*-16</f>
        <v>-0.08</v>
      </c>
      <c r="G239" s="18">
        <f>$A$37*-15</f>
        <v>-7.4999999999999997E-2</v>
      </c>
      <c r="H239" s="57">
        <f>$A$37*-14</f>
        <v>-7.0000000000000007E-2</v>
      </c>
      <c r="I239" s="57">
        <f>$A$37*-13</f>
        <v>-6.5000000000000002E-2</v>
      </c>
      <c r="J239" s="57">
        <f>$A$37*-12</f>
        <v>-0.06</v>
      </c>
      <c r="K239" s="57">
        <f>$A$37*-11</f>
        <v>-5.5E-2</v>
      </c>
      <c r="L239" s="57">
        <f>$A$37*-10</f>
        <v>-0.05</v>
      </c>
      <c r="M239" s="57">
        <f>$A$37*-9</f>
        <v>-4.4999999999999998E-2</v>
      </c>
      <c r="N239" s="57">
        <f>$A$37*-8</f>
        <v>-0.04</v>
      </c>
      <c r="O239" s="57">
        <f>$A$37*-7</f>
        <v>-3.5000000000000003E-2</v>
      </c>
      <c r="P239" s="57">
        <f>$A$37*-6</f>
        <v>-0.03</v>
      </c>
      <c r="Q239" s="57">
        <f>$A$37*-5</f>
        <v>-2.5000000000000001E-2</v>
      </c>
      <c r="R239" s="57">
        <f>$A$37*-4</f>
        <v>-0.02</v>
      </c>
      <c r="S239" s="57">
        <f>$A$37*-3</f>
        <v>-1.4999999999999999E-2</v>
      </c>
      <c r="T239" s="57">
        <f>$A$37*-2</f>
        <v>-0.01</v>
      </c>
      <c r="U239" s="57">
        <f>$A$37*-1</f>
        <v>-5.0000000000000001E-3</v>
      </c>
      <c r="V239" s="58">
        <v>0</v>
      </c>
      <c r="W239" s="59">
        <f>$A$37*1</f>
        <v>5.0000000000000001E-3</v>
      </c>
      <c r="X239" s="59">
        <f>$A$37*2</f>
        <v>0.01</v>
      </c>
      <c r="Y239" s="59">
        <f>$A$37*3</f>
        <v>1.4999999999999999E-2</v>
      </c>
      <c r="Z239" s="59">
        <f>$A$37*4</f>
        <v>0.02</v>
      </c>
      <c r="AA239" s="59">
        <f>$A$37*5</f>
        <v>2.5000000000000001E-2</v>
      </c>
      <c r="AB239" s="59">
        <f>$A$37*6</f>
        <v>0.03</v>
      </c>
      <c r="AC239" s="59">
        <f>$A$37*7</f>
        <v>3.5000000000000003E-2</v>
      </c>
      <c r="AD239" s="59">
        <f>$A$37*8</f>
        <v>0.04</v>
      </c>
      <c r="AE239" s="59">
        <f>$A$37*9</f>
        <v>4.4999999999999998E-2</v>
      </c>
      <c r="AF239" s="59">
        <f>$A$37*10</f>
        <v>0.05</v>
      </c>
      <c r="AG239" s="59">
        <f>$A$37*11</f>
        <v>5.5E-2</v>
      </c>
      <c r="AH239" s="59">
        <f>$A$37*12</f>
        <v>0.06</v>
      </c>
      <c r="AI239" s="59">
        <f>$A$37*13</f>
        <v>6.5000000000000002E-2</v>
      </c>
      <c r="AJ239" s="59">
        <f>$A$37*14</f>
        <v>7.0000000000000007E-2</v>
      </c>
      <c r="AK239" s="59">
        <f>$A$37*15</f>
        <v>7.4999999999999997E-2</v>
      </c>
      <c r="AL239" s="59">
        <f>$A$37*16</f>
        <v>0.08</v>
      </c>
      <c r="AM239" s="59">
        <f>$A$37*17</f>
        <v>8.5000000000000006E-2</v>
      </c>
      <c r="AN239" s="59">
        <f>$A$37*18</f>
        <v>0.09</v>
      </c>
      <c r="AO239" s="59">
        <f>$A$37*19</f>
        <v>9.5000000000000001E-2</v>
      </c>
      <c r="AP239" s="59">
        <f>$A$37*20</f>
        <v>0.1</v>
      </c>
    </row>
    <row r="240" spans="1:42" x14ac:dyDescent="0.25">
      <c r="B240" s="19">
        <f t="shared" ref="B240:U240" si="44">$V$206*(1+B239)</f>
        <v>1710</v>
      </c>
      <c r="C240" s="19">
        <f t="shared" si="44"/>
        <v>1719.5</v>
      </c>
      <c r="D240" s="19">
        <f t="shared" si="44"/>
        <v>1729</v>
      </c>
      <c r="E240" s="19">
        <f t="shared" si="44"/>
        <v>1738.5</v>
      </c>
      <c r="F240" s="19">
        <f t="shared" si="44"/>
        <v>1748</v>
      </c>
      <c r="G240" s="19">
        <f t="shared" si="44"/>
        <v>1757.5</v>
      </c>
      <c r="H240" s="60">
        <f t="shared" si="44"/>
        <v>1766.9999999999998</v>
      </c>
      <c r="I240" s="60">
        <f t="shared" si="44"/>
        <v>1776.5</v>
      </c>
      <c r="J240" s="60">
        <f t="shared" si="44"/>
        <v>1786</v>
      </c>
      <c r="K240" s="60">
        <f t="shared" si="44"/>
        <v>1795.5</v>
      </c>
      <c r="L240" s="60">
        <f t="shared" si="44"/>
        <v>1805</v>
      </c>
      <c r="M240" s="60">
        <f t="shared" si="44"/>
        <v>1814.5</v>
      </c>
      <c r="N240" s="60">
        <f t="shared" si="44"/>
        <v>1824</v>
      </c>
      <c r="O240" s="60">
        <f t="shared" si="44"/>
        <v>1833.5</v>
      </c>
      <c r="P240" s="60">
        <f t="shared" si="44"/>
        <v>1843</v>
      </c>
      <c r="Q240" s="60">
        <f t="shared" si="44"/>
        <v>1852.5</v>
      </c>
      <c r="R240" s="60">
        <f t="shared" si="44"/>
        <v>1862</v>
      </c>
      <c r="S240" s="60">
        <f t="shared" si="44"/>
        <v>1871.5</v>
      </c>
      <c r="T240" s="60">
        <f t="shared" si="44"/>
        <v>1881</v>
      </c>
      <c r="U240" s="60">
        <f t="shared" si="44"/>
        <v>1890.5</v>
      </c>
      <c r="V240" s="32">
        <f>$C$10</f>
        <v>1900</v>
      </c>
      <c r="W240" s="60">
        <f t="shared" ref="W240:AP240" si="45">$V$206*(1+W239)</f>
        <v>1909.4999999999998</v>
      </c>
      <c r="X240" s="60">
        <f t="shared" si="45"/>
        <v>1919</v>
      </c>
      <c r="Y240" s="60">
        <f t="shared" si="45"/>
        <v>1928.4999999999998</v>
      </c>
      <c r="Z240" s="60">
        <f t="shared" si="45"/>
        <v>1938</v>
      </c>
      <c r="AA240" s="60">
        <f t="shared" si="45"/>
        <v>1947.4999999999998</v>
      </c>
      <c r="AB240" s="60">
        <f t="shared" si="45"/>
        <v>1957</v>
      </c>
      <c r="AC240" s="60">
        <f t="shared" si="45"/>
        <v>1966.4999999999998</v>
      </c>
      <c r="AD240" s="60">
        <f t="shared" si="45"/>
        <v>1976</v>
      </c>
      <c r="AE240" s="60">
        <f t="shared" si="45"/>
        <v>1985.4999999999998</v>
      </c>
      <c r="AF240" s="60">
        <f t="shared" si="45"/>
        <v>1995</v>
      </c>
      <c r="AG240" s="60">
        <f t="shared" si="45"/>
        <v>2004.4999999999998</v>
      </c>
      <c r="AH240" s="60">
        <f t="shared" si="45"/>
        <v>2014</v>
      </c>
      <c r="AI240" s="60">
        <f t="shared" si="45"/>
        <v>2023.5</v>
      </c>
      <c r="AJ240" s="60">
        <f t="shared" si="45"/>
        <v>2033.0000000000002</v>
      </c>
      <c r="AK240" s="60">
        <f t="shared" si="45"/>
        <v>2042.5</v>
      </c>
      <c r="AL240" s="60">
        <f t="shared" si="45"/>
        <v>2052</v>
      </c>
      <c r="AM240" s="60">
        <f t="shared" si="45"/>
        <v>2061.5</v>
      </c>
      <c r="AN240" s="60">
        <f t="shared" si="45"/>
        <v>2071</v>
      </c>
      <c r="AO240" s="60">
        <f t="shared" si="45"/>
        <v>2080.5</v>
      </c>
      <c r="AP240" s="60">
        <f t="shared" si="45"/>
        <v>2090</v>
      </c>
    </row>
    <row r="241" spans="1:42" x14ac:dyDescent="0.25">
      <c r="A241" t="s">
        <v>27</v>
      </c>
      <c r="B241" s="23">
        <f>(theta($C$9,B240,$C$11,$C$12,$C$13,$C$14,$C$15)/365)*$C$5*$C$6*10000/$A$2</f>
        <v>-0.12809857905743915</v>
      </c>
      <c r="C241" s="23">
        <f t="shared" ref="C241:AP241" si="46">(theta($C$9,C240,$C$11,$C$12,$C$13,$C$14,$C$15)/365)*$C$5*$C$6*10000/$A$2</f>
        <v>-0.17467213989374783</v>
      </c>
      <c r="D241" s="23">
        <f t="shared" si="46"/>
        <v>-0.23389034034521425</v>
      </c>
      <c r="E241" s="23">
        <f t="shared" si="46"/>
        <v>-0.30763502897473111</v>
      </c>
      <c r="F241" s="23">
        <f t="shared" si="46"/>
        <v>-0.39757328927886787</v>
      </c>
      <c r="G241" s="23">
        <f t="shared" si="46"/>
        <v>-0.50498348072098875</v>
      </c>
      <c r="H241" s="23">
        <f t="shared" si="46"/>
        <v>-0.63057099370164327</v>
      </c>
      <c r="I241" s="23">
        <f t="shared" si="46"/>
        <v>-0.77428997847545422</v>
      </c>
      <c r="J241" s="23">
        <f t="shared" si="46"/>
        <v>-0.93519001082590336</v>
      </c>
      <c r="K241" s="23">
        <f t="shared" si="46"/>
        <v>-1.1113073887916474</v>
      </c>
      <c r="L241" s="23">
        <f t="shared" si="46"/>
        <v>-1.2996190736644493</v>
      </c>
      <c r="M241" s="23">
        <f t="shared" si="46"/>
        <v>-1.4960730707808456</v>
      </c>
      <c r="N241" s="23">
        <f t="shared" si="46"/>
        <v>-1.6957025479950261</v>
      </c>
      <c r="O241" s="23">
        <f t="shared" si="46"/>
        <v>-1.8928228497876871</v>
      </c>
      <c r="P241" s="23">
        <f t="shared" si="46"/>
        <v>-2.0813017318548153</v>
      </c>
      <c r="Q241" s="23">
        <f t="shared" si="46"/>
        <v>-2.2548847441630757</v>
      </c>
      <c r="R241" s="23">
        <f t="shared" si="46"/>
        <v>-2.4075508679951301</v>
      </c>
      <c r="S241" s="23">
        <f t="shared" si="46"/>
        <v>-2.5338692298412133</v>
      </c>
      <c r="T241" s="23">
        <f t="shared" si="46"/>
        <v>-2.6293266070661909</v>
      </c>
      <c r="U241" s="23">
        <f t="shared" si="46"/>
        <v>-2.6905977070409945</v>
      </c>
      <c r="V241" s="23">
        <f t="shared" si="46"/>
        <v>-2.7157355756051818</v>
      </c>
      <c r="W241" s="23">
        <f t="shared" si="46"/>
        <v>-2.704267282910866</v>
      </c>
      <c r="X241" s="23">
        <f t="shared" si="46"/>
        <v>-2.6571892458420772</v>
      </c>
      <c r="Y241" s="23">
        <f t="shared" si="46"/>
        <v>-2.5768660254645783</v>
      </c>
      <c r="Z241" s="23">
        <f t="shared" si="46"/>
        <v>-2.4668450564997233</v>
      </c>
      <c r="AA241" s="23">
        <f t="shared" si="46"/>
        <v>-2.33160657618363</v>
      </c>
      <c r="AB241" s="23">
        <f t="shared" si="46"/>
        <v>-2.1762723755159374</v>
      </c>
      <c r="AC241" s="23">
        <f t="shared" si="46"/>
        <v>-2.0062986146483879</v>
      </c>
      <c r="AD241" s="23">
        <f t="shared" si="46"/>
        <v>-1.8271769109667331</v>
      </c>
      <c r="AE241" s="23">
        <f t="shared" si="46"/>
        <v>-1.6441646236720417</v>
      </c>
      <c r="AF241" s="23">
        <f t="shared" si="46"/>
        <v>-1.4620603468629247</v>
      </c>
      <c r="AG241" s="23">
        <f t="shared" si="46"/>
        <v>-1.2850348213856795</v>
      </c>
      <c r="AH241" s="23">
        <f t="shared" si="46"/>
        <v>-1.1165215222288811</v>
      </c>
      <c r="AI241" s="23">
        <f t="shared" si="46"/>
        <v>-0.95916571750306845</v>
      </c>
      <c r="AJ241" s="23">
        <f t="shared" si="46"/>
        <v>-0.8148263115073171</v>
      </c>
      <c r="AK241" s="23">
        <f t="shared" si="46"/>
        <v>-0.68462156929212814</v>
      </c>
      <c r="AL241" s="23">
        <f t="shared" si="46"/>
        <v>-0.56900797044956175</v>
      </c>
      <c r="AM241" s="23">
        <f t="shared" si="46"/>
        <v>-0.46788088328663791</v>
      </c>
      <c r="AN241" s="23">
        <f t="shared" si="46"/>
        <v>-0.38068628775336388</v>
      </c>
      <c r="AO241" s="23">
        <f t="shared" si="46"/>
        <v>-0.30653413018841086</v>
      </c>
      <c r="AP241" s="23">
        <f t="shared" si="46"/>
        <v>-0.24430576085462932</v>
      </c>
    </row>
    <row r="242" spans="1:42" x14ac:dyDescent="0.25">
      <c r="A242" t="s">
        <v>28</v>
      </c>
      <c r="B242" s="23">
        <f>(theta($D$9,B240,$D$11,$D$12,$D$13,$D$14,$D$15)/365)*$D$5*$D$6*10000/$A$2</f>
        <v>0</v>
      </c>
      <c r="C242" s="23">
        <f t="shared" ref="C242:AP242" si="47">(theta($D$9,C240,$D$11,$D$12,$D$13,$D$14,$D$15)/365)*$D$5*$D$6*10000/$A$2</f>
        <v>0</v>
      </c>
      <c r="D242" s="23">
        <f t="shared" si="47"/>
        <v>0</v>
      </c>
      <c r="E242" s="23">
        <f t="shared" si="47"/>
        <v>0</v>
      </c>
      <c r="F242" s="23">
        <f t="shared" si="47"/>
        <v>0</v>
      </c>
      <c r="G242" s="23">
        <f t="shared" si="47"/>
        <v>0</v>
      </c>
      <c r="H242" s="23">
        <f t="shared" si="47"/>
        <v>0</v>
      </c>
      <c r="I242" s="23">
        <f t="shared" si="47"/>
        <v>0</v>
      </c>
      <c r="J242" s="23">
        <f t="shared" si="47"/>
        <v>0</v>
      </c>
      <c r="K242" s="23">
        <f t="shared" si="47"/>
        <v>0</v>
      </c>
      <c r="L242" s="23">
        <f t="shared" si="47"/>
        <v>0</v>
      </c>
      <c r="M242" s="23">
        <f t="shared" si="47"/>
        <v>0</v>
      </c>
      <c r="N242" s="23">
        <f t="shared" si="47"/>
        <v>0</v>
      </c>
      <c r="O242" s="23">
        <f t="shared" si="47"/>
        <v>0</v>
      </c>
      <c r="P242" s="23">
        <f t="shared" si="47"/>
        <v>0</v>
      </c>
      <c r="Q242" s="23">
        <f t="shared" si="47"/>
        <v>0</v>
      </c>
      <c r="R242" s="23">
        <f t="shared" si="47"/>
        <v>0</v>
      </c>
      <c r="S242" s="23">
        <f t="shared" si="47"/>
        <v>0</v>
      </c>
      <c r="T242" s="23">
        <f t="shared" si="47"/>
        <v>0</v>
      </c>
      <c r="U242" s="23">
        <f t="shared" si="47"/>
        <v>0</v>
      </c>
      <c r="V242" s="23">
        <f t="shared" si="47"/>
        <v>0</v>
      </c>
      <c r="W242" s="23">
        <f t="shared" si="47"/>
        <v>0</v>
      </c>
      <c r="X242" s="23">
        <f t="shared" si="47"/>
        <v>0</v>
      </c>
      <c r="Y242" s="23">
        <f t="shared" si="47"/>
        <v>0</v>
      </c>
      <c r="Z242" s="23">
        <f t="shared" si="47"/>
        <v>0</v>
      </c>
      <c r="AA242" s="23">
        <f t="shared" si="47"/>
        <v>0</v>
      </c>
      <c r="AB242" s="23">
        <f t="shared" si="47"/>
        <v>0</v>
      </c>
      <c r="AC242" s="23">
        <f t="shared" si="47"/>
        <v>0</v>
      </c>
      <c r="AD242" s="23">
        <f t="shared" si="47"/>
        <v>0</v>
      </c>
      <c r="AE242" s="23">
        <f t="shared" si="47"/>
        <v>0</v>
      </c>
      <c r="AF242" s="23">
        <f t="shared" si="47"/>
        <v>0</v>
      </c>
      <c r="AG242" s="23">
        <f t="shared" si="47"/>
        <v>0</v>
      </c>
      <c r="AH242" s="23">
        <f t="shared" si="47"/>
        <v>0</v>
      </c>
      <c r="AI242" s="23">
        <f t="shared" si="47"/>
        <v>0</v>
      </c>
      <c r="AJ242" s="23">
        <f t="shared" si="47"/>
        <v>0</v>
      </c>
      <c r="AK242" s="23">
        <f t="shared" si="47"/>
        <v>0</v>
      </c>
      <c r="AL242" s="23">
        <f t="shared" si="47"/>
        <v>0</v>
      </c>
      <c r="AM242" s="23">
        <f t="shared" si="47"/>
        <v>0</v>
      </c>
      <c r="AN242" s="23">
        <f t="shared" si="47"/>
        <v>0</v>
      </c>
      <c r="AO242" s="23">
        <f t="shared" si="47"/>
        <v>0</v>
      </c>
      <c r="AP242" s="23">
        <f t="shared" si="47"/>
        <v>0</v>
      </c>
    </row>
    <row r="243" spans="1:42" x14ac:dyDescent="0.25">
      <c r="A243" t="s">
        <v>29</v>
      </c>
      <c r="B243" s="23">
        <f>(theta($E$9,B240,$E$11,$E$12,$E$13,$E$14,$E$15)/365)*$E$5*$E$6*10000/$A$2</f>
        <v>0</v>
      </c>
      <c r="C243" s="23">
        <f t="shared" ref="C243:AP243" si="48">(theta($E$9,C240,$E$11,$E$12,$E$13,$E$14,$E$15)/365)*$E$5*$E$6*10000/$A$2</f>
        <v>0</v>
      </c>
      <c r="D243" s="23">
        <f t="shared" si="48"/>
        <v>0</v>
      </c>
      <c r="E243" s="23">
        <f t="shared" si="48"/>
        <v>0</v>
      </c>
      <c r="F243" s="23">
        <f t="shared" si="48"/>
        <v>0</v>
      </c>
      <c r="G243" s="23">
        <f t="shared" si="48"/>
        <v>0</v>
      </c>
      <c r="H243" s="23">
        <f t="shared" si="48"/>
        <v>0</v>
      </c>
      <c r="I243" s="23">
        <f t="shared" si="48"/>
        <v>0</v>
      </c>
      <c r="J243" s="23">
        <f t="shared" si="48"/>
        <v>0</v>
      </c>
      <c r="K243" s="23">
        <f t="shared" si="48"/>
        <v>0</v>
      </c>
      <c r="L243" s="23">
        <f t="shared" si="48"/>
        <v>0</v>
      </c>
      <c r="M243" s="23">
        <f t="shared" si="48"/>
        <v>0</v>
      </c>
      <c r="N243" s="23">
        <f t="shared" si="48"/>
        <v>0</v>
      </c>
      <c r="O243" s="23">
        <f t="shared" si="48"/>
        <v>0</v>
      </c>
      <c r="P243" s="23">
        <f t="shared" si="48"/>
        <v>0</v>
      </c>
      <c r="Q243" s="23">
        <f t="shared" si="48"/>
        <v>0</v>
      </c>
      <c r="R243" s="23">
        <f t="shared" si="48"/>
        <v>0</v>
      </c>
      <c r="S243" s="23">
        <f t="shared" si="48"/>
        <v>0</v>
      </c>
      <c r="T243" s="23">
        <f t="shared" si="48"/>
        <v>0</v>
      </c>
      <c r="U243" s="23">
        <f t="shared" si="48"/>
        <v>0</v>
      </c>
      <c r="V243" s="23">
        <f t="shared" si="48"/>
        <v>0</v>
      </c>
      <c r="W243" s="23">
        <f t="shared" si="48"/>
        <v>0</v>
      </c>
      <c r="X243" s="23">
        <f t="shared" si="48"/>
        <v>0</v>
      </c>
      <c r="Y243" s="23">
        <f t="shared" si="48"/>
        <v>0</v>
      </c>
      <c r="Z243" s="23">
        <f t="shared" si="48"/>
        <v>0</v>
      </c>
      <c r="AA243" s="23">
        <f t="shared" si="48"/>
        <v>0</v>
      </c>
      <c r="AB243" s="23">
        <f t="shared" si="48"/>
        <v>0</v>
      </c>
      <c r="AC243" s="23">
        <f t="shared" si="48"/>
        <v>0</v>
      </c>
      <c r="AD243" s="23">
        <f t="shared" si="48"/>
        <v>0</v>
      </c>
      <c r="AE243" s="23">
        <f t="shared" si="48"/>
        <v>0</v>
      </c>
      <c r="AF243" s="23">
        <f t="shared" si="48"/>
        <v>0</v>
      </c>
      <c r="AG243" s="23">
        <f t="shared" si="48"/>
        <v>0</v>
      </c>
      <c r="AH243" s="23">
        <f t="shared" si="48"/>
        <v>0</v>
      </c>
      <c r="AI243" s="23">
        <f t="shared" si="48"/>
        <v>0</v>
      </c>
      <c r="AJ243" s="23">
        <f t="shared" si="48"/>
        <v>0</v>
      </c>
      <c r="AK243" s="23">
        <f t="shared" si="48"/>
        <v>0</v>
      </c>
      <c r="AL243" s="23">
        <f t="shared" si="48"/>
        <v>0</v>
      </c>
      <c r="AM243" s="23">
        <f t="shared" si="48"/>
        <v>0</v>
      </c>
      <c r="AN243" s="23">
        <f t="shared" si="48"/>
        <v>0</v>
      </c>
      <c r="AO243" s="23">
        <f t="shared" si="48"/>
        <v>0</v>
      </c>
      <c r="AP243" s="23">
        <f t="shared" si="48"/>
        <v>0</v>
      </c>
    </row>
    <row r="244" spans="1:42" x14ac:dyDescent="0.25">
      <c r="A244" t="s">
        <v>30</v>
      </c>
      <c r="B244" s="23">
        <f>(theta($F$9,B240,$F$11,$F$12,$F$13,$F$14,$F$15)/365)*$F$5*$F$6*10000/$A$2</f>
        <v>0</v>
      </c>
      <c r="C244" s="23">
        <f t="shared" ref="C244:AP244" si="49">(theta($F$9,C240,$F$11,$F$12,$F$13,$F$14,$F$15)/365)*$F$5*$F$6*10000/$A$2</f>
        <v>0</v>
      </c>
      <c r="D244" s="23">
        <f t="shared" si="49"/>
        <v>0</v>
      </c>
      <c r="E244" s="23">
        <f t="shared" si="49"/>
        <v>0</v>
      </c>
      <c r="F244" s="23">
        <f t="shared" si="49"/>
        <v>0</v>
      </c>
      <c r="G244" s="23">
        <f t="shared" si="49"/>
        <v>0</v>
      </c>
      <c r="H244" s="23">
        <f t="shared" si="49"/>
        <v>0</v>
      </c>
      <c r="I244" s="23">
        <f t="shared" si="49"/>
        <v>0</v>
      </c>
      <c r="J244" s="23">
        <f t="shared" si="49"/>
        <v>0</v>
      </c>
      <c r="K244" s="23">
        <f t="shared" si="49"/>
        <v>0</v>
      </c>
      <c r="L244" s="23">
        <f t="shared" si="49"/>
        <v>0</v>
      </c>
      <c r="M244" s="23">
        <f t="shared" si="49"/>
        <v>0</v>
      </c>
      <c r="N244" s="23">
        <f t="shared" si="49"/>
        <v>0</v>
      </c>
      <c r="O244" s="23">
        <f t="shared" si="49"/>
        <v>0</v>
      </c>
      <c r="P244" s="23">
        <f t="shared" si="49"/>
        <v>0</v>
      </c>
      <c r="Q244" s="23">
        <f t="shared" si="49"/>
        <v>0</v>
      </c>
      <c r="R244" s="23">
        <f t="shared" si="49"/>
        <v>0</v>
      </c>
      <c r="S244" s="23">
        <f t="shared" si="49"/>
        <v>0</v>
      </c>
      <c r="T244" s="23">
        <f t="shared" si="49"/>
        <v>0</v>
      </c>
      <c r="U244" s="23">
        <f t="shared" si="49"/>
        <v>0</v>
      </c>
      <c r="V244" s="23">
        <f t="shared" si="49"/>
        <v>0</v>
      </c>
      <c r="W244" s="23">
        <f t="shared" si="49"/>
        <v>0</v>
      </c>
      <c r="X244" s="23">
        <f t="shared" si="49"/>
        <v>0</v>
      </c>
      <c r="Y244" s="23">
        <f t="shared" si="49"/>
        <v>0</v>
      </c>
      <c r="Z244" s="23">
        <f t="shared" si="49"/>
        <v>0</v>
      </c>
      <c r="AA244" s="23">
        <f t="shared" si="49"/>
        <v>0</v>
      </c>
      <c r="AB244" s="23">
        <f t="shared" si="49"/>
        <v>0</v>
      </c>
      <c r="AC244" s="23">
        <f t="shared" si="49"/>
        <v>0</v>
      </c>
      <c r="AD244" s="23">
        <f t="shared" si="49"/>
        <v>0</v>
      </c>
      <c r="AE244" s="23">
        <f t="shared" si="49"/>
        <v>0</v>
      </c>
      <c r="AF244" s="23">
        <f t="shared" si="49"/>
        <v>0</v>
      </c>
      <c r="AG244" s="23">
        <f t="shared" si="49"/>
        <v>0</v>
      </c>
      <c r="AH244" s="23">
        <f t="shared" si="49"/>
        <v>0</v>
      </c>
      <c r="AI244" s="23">
        <f t="shared" si="49"/>
        <v>0</v>
      </c>
      <c r="AJ244" s="23">
        <f t="shared" si="49"/>
        <v>0</v>
      </c>
      <c r="AK244" s="23">
        <f t="shared" si="49"/>
        <v>0</v>
      </c>
      <c r="AL244" s="23">
        <f t="shared" si="49"/>
        <v>0</v>
      </c>
      <c r="AM244" s="23">
        <f t="shared" si="49"/>
        <v>0</v>
      </c>
      <c r="AN244" s="23">
        <f t="shared" si="49"/>
        <v>0</v>
      </c>
      <c r="AO244" s="23">
        <f t="shared" si="49"/>
        <v>0</v>
      </c>
      <c r="AP244" s="23">
        <f t="shared" si="49"/>
        <v>0</v>
      </c>
    </row>
    <row r="245" spans="1:42" x14ac:dyDescent="0.25">
      <c r="A245" t="s">
        <v>6</v>
      </c>
      <c r="B245" s="23">
        <v>0</v>
      </c>
      <c r="C245" s="23">
        <v>0</v>
      </c>
      <c r="D245" s="23">
        <v>0</v>
      </c>
      <c r="E245" s="23">
        <v>0</v>
      </c>
      <c r="F245" s="23">
        <v>0</v>
      </c>
      <c r="G245" s="23">
        <v>0</v>
      </c>
      <c r="H245" s="60">
        <v>0</v>
      </c>
      <c r="I245" s="60">
        <v>0</v>
      </c>
      <c r="J245" s="60">
        <v>0</v>
      </c>
      <c r="K245" s="60">
        <v>0</v>
      </c>
      <c r="L245" s="60">
        <v>0</v>
      </c>
      <c r="M245" s="60">
        <v>0</v>
      </c>
      <c r="N245" s="60">
        <v>0</v>
      </c>
      <c r="O245" s="60">
        <v>0</v>
      </c>
      <c r="P245" s="60">
        <v>0</v>
      </c>
      <c r="Q245" s="60">
        <v>0</v>
      </c>
      <c r="R245" s="60">
        <v>0</v>
      </c>
      <c r="S245" s="60">
        <v>0</v>
      </c>
      <c r="T245" s="60">
        <v>0</v>
      </c>
      <c r="U245" s="60">
        <v>0</v>
      </c>
      <c r="V245" s="60">
        <v>0</v>
      </c>
      <c r="W245" s="60">
        <v>0</v>
      </c>
      <c r="X245" s="60">
        <v>0</v>
      </c>
      <c r="Y245" s="60">
        <v>0</v>
      </c>
      <c r="Z245" s="60">
        <v>0</v>
      </c>
      <c r="AA245" s="60">
        <v>0</v>
      </c>
      <c r="AB245" s="60">
        <v>0</v>
      </c>
      <c r="AC245" s="60">
        <v>0</v>
      </c>
      <c r="AD245" s="60">
        <v>0</v>
      </c>
      <c r="AE245" s="60">
        <v>0</v>
      </c>
      <c r="AF245" s="60">
        <v>0</v>
      </c>
      <c r="AG245" s="60">
        <v>0</v>
      </c>
      <c r="AH245" s="60">
        <v>0</v>
      </c>
      <c r="AI245" s="60">
        <v>0</v>
      </c>
      <c r="AJ245" s="60">
        <v>0</v>
      </c>
      <c r="AK245" s="60">
        <v>0</v>
      </c>
      <c r="AL245" s="60">
        <v>0</v>
      </c>
      <c r="AM245" s="60">
        <v>0</v>
      </c>
      <c r="AN245" s="60">
        <v>0</v>
      </c>
      <c r="AO245" s="60">
        <v>0</v>
      </c>
      <c r="AP245" s="60">
        <v>0</v>
      </c>
    </row>
    <row r="246" spans="1:42" x14ac:dyDescent="0.25">
      <c r="A246" s="7" t="s">
        <v>39</v>
      </c>
      <c r="B246" s="24">
        <f>SUM(B241:B245)</f>
        <v>-0.12809857905743915</v>
      </c>
      <c r="C246" s="24">
        <f t="shared" ref="C246:V246" si="50">SUM(C241:C245)</f>
        <v>-0.17467213989374783</v>
      </c>
      <c r="D246" s="24">
        <f t="shared" si="50"/>
        <v>-0.23389034034521425</v>
      </c>
      <c r="E246" s="24">
        <f t="shared" si="50"/>
        <v>-0.30763502897473111</v>
      </c>
      <c r="F246" s="24">
        <f t="shared" si="50"/>
        <v>-0.39757328927886787</v>
      </c>
      <c r="G246" s="24">
        <f t="shared" si="50"/>
        <v>-0.50498348072098875</v>
      </c>
      <c r="H246" s="62">
        <f t="shared" si="50"/>
        <v>-0.63057099370164327</v>
      </c>
      <c r="I246" s="62">
        <f t="shared" si="50"/>
        <v>-0.77428997847545422</v>
      </c>
      <c r="J246" s="62">
        <f t="shared" si="50"/>
        <v>-0.93519001082590336</v>
      </c>
      <c r="K246" s="62">
        <f t="shared" si="50"/>
        <v>-1.1113073887916474</v>
      </c>
      <c r="L246" s="62">
        <f t="shared" si="50"/>
        <v>-1.2996190736644493</v>
      </c>
      <c r="M246" s="62">
        <f t="shared" si="50"/>
        <v>-1.4960730707808456</v>
      </c>
      <c r="N246" s="62">
        <f t="shared" si="50"/>
        <v>-1.6957025479950261</v>
      </c>
      <c r="O246" s="62">
        <f t="shared" si="50"/>
        <v>-1.8928228497876871</v>
      </c>
      <c r="P246" s="62">
        <f t="shared" si="50"/>
        <v>-2.0813017318548153</v>
      </c>
      <c r="Q246" s="62">
        <f t="shared" si="50"/>
        <v>-2.2548847441630757</v>
      </c>
      <c r="R246" s="62">
        <f t="shared" si="50"/>
        <v>-2.4075508679951301</v>
      </c>
      <c r="S246" s="62">
        <f t="shared" si="50"/>
        <v>-2.5338692298412133</v>
      </c>
      <c r="T246" s="62">
        <f t="shared" si="50"/>
        <v>-2.6293266070661909</v>
      </c>
      <c r="U246" s="62">
        <f t="shared" si="50"/>
        <v>-2.6905977070409945</v>
      </c>
      <c r="V246" s="62">
        <f t="shared" si="50"/>
        <v>-2.7157355756051818</v>
      </c>
      <c r="W246" s="62">
        <f t="shared" ref="W246:AP246" si="51">SUM(W241:W245)</f>
        <v>-2.704267282910866</v>
      </c>
      <c r="X246" s="62">
        <f t="shared" si="51"/>
        <v>-2.6571892458420772</v>
      </c>
      <c r="Y246" s="62">
        <f t="shared" si="51"/>
        <v>-2.5768660254645783</v>
      </c>
      <c r="Z246" s="62">
        <f t="shared" si="51"/>
        <v>-2.4668450564997233</v>
      </c>
      <c r="AA246" s="62">
        <f t="shared" si="51"/>
        <v>-2.33160657618363</v>
      </c>
      <c r="AB246" s="62">
        <f t="shared" si="51"/>
        <v>-2.1762723755159374</v>
      </c>
      <c r="AC246" s="62">
        <f t="shared" si="51"/>
        <v>-2.0062986146483879</v>
      </c>
      <c r="AD246" s="62">
        <f t="shared" si="51"/>
        <v>-1.8271769109667331</v>
      </c>
      <c r="AE246" s="62">
        <f t="shared" si="51"/>
        <v>-1.6441646236720417</v>
      </c>
      <c r="AF246" s="62">
        <f t="shared" si="51"/>
        <v>-1.4620603468629247</v>
      </c>
      <c r="AG246" s="62">
        <f t="shared" si="51"/>
        <v>-1.2850348213856795</v>
      </c>
      <c r="AH246" s="62">
        <f t="shared" si="51"/>
        <v>-1.1165215222288811</v>
      </c>
      <c r="AI246" s="62">
        <f t="shared" si="51"/>
        <v>-0.95916571750306845</v>
      </c>
      <c r="AJ246" s="62">
        <f t="shared" si="51"/>
        <v>-0.8148263115073171</v>
      </c>
      <c r="AK246" s="62">
        <f t="shared" si="51"/>
        <v>-0.68462156929212814</v>
      </c>
      <c r="AL246" s="62">
        <f t="shared" si="51"/>
        <v>-0.56900797044956175</v>
      </c>
      <c r="AM246" s="62">
        <f t="shared" si="51"/>
        <v>-0.46788088328663791</v>
      </c>
      <c r="AN246" s="62">
        <f t="shared" si="51"/>
        <v>-0.38068628775336388</v>
      </c>
      <c r="AO246" s="62">
        <f t="shared" si="51"/>
        <v>-0.30653413018841086</v>
      </c>
      <c r="AP246" s="62">
        <f t="shared" si="51"/>
        <v>-0.24430576085462932</v>
      </c>
    </row>
    <row r="247" spans="1:42" x14ac:dyDescent="0.25">
      <c r="B247" s="19">
        <f t="shared" ref="B247:L247" si="52">B240</f>
        <v>1710</v>
      </c>
      <c r="C247" s="19">
        <f t="shared" si="52"/>
        <v>1719.5</v>
      </c>
      <c r="D247" s="19">
        <f t="shared" si="52"/>
        <v>1729</v>
      </c>
      <c r="E247" s="19">
        <f t="shared" si="52"/>
        <v>1738.5</v>
      </c>
      <c r="F247" s="19">
        <f t="shared" si="52"/>
        <v>1748</v>
      </c>
      <c r="G247" s="19">
        <f t="shared" si="52"/>
        <v>1757.5</v>
      </c>
      <c r="H247" s="60">
        <f t="shared" si="52"/>
        <v>1766.9999999999998</v>
      </c>
      <c r="I247" s="60">
        <f t="shared" si="52"/>
        <v>1776.5</v>
      </c>
      <c r="J247" s="60">
        <f t="shared" si="52"/>
        <v>1786</v>
      </c>
      <c r="K247" s="60">
        <f t="shared" si="52"/>
        <v>1795.5</v>
      </c>
      <c r="L247" s="60">
        <f t="shared" si="52"/>
        <v>1805</v>
      </c>
      <c r="M247" s="60">
        <f t="shared" ref="M247:V247" si="53">M240</f>
        <v>1814.5</v>
      </c>
      <c r="N247" s="60">
        <f t="shared" si="53"/>
        <v>1824</v>
      </c>
      <c r="O247" s="60">
        <f t="shared" si="53"/>
        <v>1833.5</v>
      </c>
      <c r="P247" s="60">
        <f t="shared" si="53"/>
        <v>1843</v>
      </c>
      <c r="Q247" s="60">
        <f t="shared" si="53"/>
        <v>1852.5</v>
      </c>
      <c r="R247" s="60">
        <f t="shared" si="53"/>
        <v>1862</v>
      </c>
      <c r="S247" s="60">
        <f t="shared" si="53"/>
        <v>1871.5</v>
      </c>
      <c r="T247" s="60">
        <f t="shared" si="53"/>
        <v>1881</v>
      </c>
      <c r="U247" s="60">
        <f t="shared" si="53"/>
        <v>1890.5</v>
      </c>
      <c r="V247" s="60">
        <f t="shared" si="53"/>
        <v>1900</v>
      </c>
      <c r="W247" s="60">
        <f t="shared" ref="W247:AP247" si="54">W240</f>
        <v>1909.4999999999998</v>
      </c>
      <c r="X247" s="60">
        <f t="shared" si="54"/>
        <v>1919</v>
      </c>
      <c r="Y247" s="60">
        <f t="shared" si="54"/>
        <v>1928.4999999999998</v>
      </c>
      <c r="Z247" s="60">
        <f t="shared" si="54"/>
        <v>1938</v>
      </c>
      <c r="AA247" s="60">
        <f t="shared" si="54"/>
        <v>1947.4999999999998</v>
      </c>
      <c r="AB247" s="60">
        <f t="shared" si="54"/>
        <v>1957</v>
      </c>
      <c r="AC247" s="60">
        <f t="shared" si="54"/>
        <v>1966.4999999999998</v>
      </c>
      <c r="AD247" s="60">
        <f t="shared" si="54"/>
        <v>1976</v>
      </c>
      <c r="AE247" s="60">
        <f t="shared" si="54"/>
        <v>1985.4999999999998</v>
      </c>
      <c r="AF247" s="60">
        <f t="shared" si="54"/>
        <v>1995</v>
      </c>
      <c r="AG247" s="60">
        <f t="shared" si="54"/>
        <v>2004.4999999999998</v>
      </c>
      <c r="AH247" s="60">
        <f t="shared" si="54"/>
        <v>2014</v>
      </c>
      <c r="AI247" s="60">
        <f t="shared" si="54"/>
        <v>2023.5</v>
      </c>
      <c r="AJ247" s="60">
        <f t="shared" si="54"/>
        <v>2033.0000000000002</v>
      </c>
      <c r="AK247" s="60">
        <f t="shared" si="54"/>
        <v>2042.5</v>
      </c>
      <c r="AL247" s="60">
        <f t="shared" si="54"/>
        <v>2052</v>
      </c>
      <c r="AM247" s="60">
        <f t="shared" si="54"/>
        <v>2061.5</v>
      </c>
      <c r="AN247" s="60">
        <f t="shared" si="54"/>
        <v>2071</v>
      </c>
      <c r="AO247" s="60">
        <f t="shared" si="54"/>
        <v>2080.5</v>
      </c>
      <c r="AP247" s="60">
        <f t="shared" si="54"/>
        <v>2090</v>
      </c>
    </row>
    <row r="248" spans="1:42" x14ac:dyDescent="0.25">
      <c r="A248" t="s">
        <v>27</v>
      </c>
      <c r="B248" s="23">
        <f>(theta($C$9,B247,$C$11,$C$12,$C$13,$C$14-$A$40,$C$15*(1+$A$43))/365)*$C$5*$C$6*10000/$A$2</f>
        <v>-9.0083465063719604E-3</v>
      </c>
      <c r="C248" s="23">
        <f t="shared" ref="C248:AP248" si="55">(theta($C$9,C247,$C$11,$C$12,$C$13,$C$14-$A$40,$C$15*(1+$A$43))/365)*$C$5*$C$6*10000/$A$2</f>
        <v>-1.6703239373306009E-2</v>
      </c>
      <c r="D248" s="23">
        <f t="shared" si="55"/>
        <v>-2.9866311375070079E-2</v>
      </c>
      <c r="E248" s="23">
        <f t="shared" si="55"/>
        <v>-5.1527460150388602E-2</v>
      </c>
      <c r="F248" s="23">
        <f t="shared" si="55"/>
        <v>-8.5825866576858909E-2</v>
      </c>
      <c r="G248" s="23">
        <f t="shared" si="55"/>
        <v>-0.13808966932848699</v>
      </c>
      <c r="H248" s="23">
        <f t="shared" si="55"/>
        <v>-0.21473568273931543</v>
      </c>
      <c r="I248" s="23">
        <f t="shared" si="55"/>
        <v>-0.32290828212909273</v>
      </c>
      <c r="J248" s="23">
        <f t="shared" si="55"/>
        <v>-0.46980053263391797</v>
      </c>
      <c r="K248" s="23">
        <f t="shared" si="55"/>
        <v>-0.66165288809921197</v>
      </c>
      <c r="L248" s="23">
        <f t="shared" si="55"/>
        <v>-0.90250177255640063</v>
      </c>
      <c r="M248" s="23">
        <f t="shared" si="55"/>
        <v>-1.1928384746831864</v>
      </c>
      <c r="N248" s="23">
        <f t="shared" si="55"/>
        <v>-1.5284155306271887</v>
      </c>
      <c r="O248" s="23">
        <f t="shared" si="55"/>
        <v>-1.899476812858683</v>
      </c>
      <c r="P248" s="23">
        <f t="shared" si="55"/>
        <v>-2.2906668829888686</v>
      </c>
      <c r="Q248" s="23">
        <f t="shared" si="55"/>
        <v>-2.6817858924102622</v>
      </c>
      <c r="R248" s="23">
        <f t="shared" si="55"/>
        <v>-3.0494085874772461</v>
      </c>
      <c r="S248" s="23">
        <f t="shared" si="55"/>
        <v>-3.3692093181493052</v>
      </c>
      <c r="T248" s="23">
        <f t="shared" si="55"/>
        <v>-3.6186717347241251</v>
      </c>
      <c r="U248" s="23">
        <f t="shared" si="55"/>
        <v>-3.7797555044120625</v>
      </c>
      <c r="V248" s="23">
        <f t="shared" si="55"/>
        <v>-3.8410740169376894</v>
      </c>
      <c r="W248" s="23">
        <f t="shared" si="55"/>
        <v>-3.7992153396171191</v>
      </c>
      <c r="X248" s="23">
        <f t="shared" si="55"/>
        <v>-3.6589965361140599</v>
      </c>
      <c r="Y248" s="23">
        <f t="shared" si="55"/>
        <v>-3.4326408868933806</v>
      </c>
      <c r="Z248" s="23">
        <f t="shared" si="55"/>
        <v>-3.1380609274968494</v>
      </c>
      <c r="AA248" s="23">
        <f t="shared" si="55"/>
        <v>-2.7965740502158747</v>
      </c>
      <c r="AB248" s="23">
        <f t="shared" si="55"/>
        <v>-2.4304438910463322</v>
      </c>
      <c r="AC248" s="23">
        <f t="shared" si="55"/>
        <v>-2.0606236724285187</v>
      </c>
      <c r="AD248" s="23">
        <f t="shared" si="55"/>
        <v>-1.7049915883047722</v>
      </c>
      <c r="AE248" s="23">
        <f t="shared" si="55"/>
        <v>-1.3772417100940801</v>
      </c>
      <c r="AF248" s="23">
        <f t="shared" si="55"/>
        <v>-1.0864597975709318</v>
      </c>
      <c r="AG248" s="23">
        <f t="shared" si="55"/>
        <v>-0.83730035544776471</v>
      </c>
      <c r="AH248" s="23">
        <f t="shared" si="55"/>
        <v>-0.63060727754628199</v>
      </c>
      <c r="AI248" s="23">
        <f t="shared" si="55"/>
        <v>-0.4642909354033512</v>
      </c>
      <c r="AJ248" s="23">
        <f t="shared" si="55"/>
        <v>-0.33428424832958004</v>
      </c>
      <c r="AK248" s="23">
        <f t="shared" si="55"/>
        <v>-0.23543695716322555</v>
      </c>
      <c r="AL248" s="23">
        <f t="shared" si="55"/>
        <v>-0.16225666116469911</v>
      </c>
      <c r="AM248" s="23">
        <f t="shared" si="55"/>
        <v>-0.10945445583862472</v>
      </c>
      <c r="AN248" s="23">
        <f t="shared" si="55"/>
        <v>-7.2293446861045357E-2</v>
      </c>
      <c r="AO248" s="23">
        <f t="shared" si="55"/>
        <v>-4.6765795601620821E-2</v>
      </c>
      <c r="AP248" s="23">
        <f t="shared" si="55"/>
        <v>-2.9637992679184752E-2</v>
      </c>
    </row>
    <row r="249" spans="1:42" x14ac:dyDescent="0.25">
      <c r="A249" t="s">
        <v>28</v>
      </c>
      <c r="B249" s="23">
        <f>(theta($D$9,B247,$D$11,$D$12,$D$13,$D$14-$A$40,$D$15*(1+$A$43))/365)*$D$5*$D$6*10000/$A$2</f>
        <v>0</v>
      </c>
      <c r="C249" s="23">
        <f t="shared" ref="C249:AP249" si="56">(theta($D$9,C247,$D$11,$D$12,$D$13,$D$14-$A$40,$D$15*(1+$A$43))/365)*$D$5*$D$6*10000/$A$2</f>
        <v>0</v>
      </c>
      <c r="D249" s="23">
        <f t="shared" si="56"/>
        <v>0</v>
      </c>
      <c r="E249" s="23">
        <f t="shared" si="56"/>
        <v>0</v>
      </c>
      <c r="F249" s="23">
        <f t="shared" si="56"/>
        <v>0</v>
      </c>
      <c r="G249" s="23">
        <f t="shared" si="56"/>
        <v>0</v>
      </c>
      <c r="H249" s="23">
        <f t="shared" si="56"/>
        <v>0</v>
      </c>
      <c r="I249" s="23">
        <f t="shared" si="56"/>
        <v>0</v>
      </c>
      <c r="J249" s="23">
        <f t="shared" si="56"/>
        <v>0</v>
      </c>
      <c r="K249" s="23">
        <f t="shared" si="56"/>
        <v>0</v>
      </c>
      <c r="L249" s="23">
        <f t="shared" si="56"/>
        <v>0</v>
      </c>
      <c r="M249" s="23">
        <f t="shared" si="56"/>
        <v>0</v>
      </c>
      <c r="N249" s="23">
        <f t="shared" si="56"/>
        <v>0</v>
      </c>
      <c r="O249" s="23">
        <f t="shared" si="56"/>
        <v>0</v>
      </c>
      <c r="P249" s="23">
        <f t="shared" si="56"/>
        <v>0</v>
      </c>
      <c r="Q249" s="23">
        <f t="shared" si="56"/>
        <v>0</v>
      </c>
      <c r="R249" s="23">
        <f t="shared" si="56"/>
        <v>0</v>
      </c>
      <c r="S249" s="23">
        <f t="shared" si="56"/>
        <v>0</v>
      </c>
      <c r="T249" s="23">
        <f t="shared" si="56"/>
        <v>0</v>
      </c>
      <c r="U249" s="23">
        <f t="shared" si="56"/>
        <v>0</v>
      </c>
      <c r="V249" s="23">
        <f t="shared" si="56"/>
        <v>0</v>
      </c>
      <c r="W249" s="23">
        <f t="shared" si="56"/>
        <v>0</v>
      </c>
      <c r="X249" s="23">
        <f t="shared" si="56"/>
        <v>0</v>
      </c>
      <c r="Y249" s="23">
        <f t="shared" si="56"/>
        <v>0</v>
      </c>
      <c r="Z249" s="23">
        <f t="shared" si="56"/>
        <v>0</v>
      </c>
      <c r="AA249" s="23">
        <f t="shared" si="56"/>
        <v>0</v>
      </c>
      <c r="AB249" s="23">
        <f t="shared" si="56"/>
        <v>0</v>
      </c>
      <c r="AC249" s="23">
        <f t="shared" si="56"/>
        <v>0</v>
      </c>
      <c r="AD249" s="23">
        <f t="shared" si="56"/>
        <v>0</v>
      </c>
      <c r="AE249" s="23">
        <f t="shared" si="56"/>
        <v>0</v>
      </c>
      <c r="AF249" s="23">
        <f t="shared" si="56"/>
        <v>0</v>
      </c>
      <c r="AG249" s="23">
        <f t="shared" si="56"/>
        <v>0</v>
      </c>
      <c r="AH249" s="23">
        <f t="shared" si="56"/>
        <v>0</v>
      </c>
      <c r="AI249" s="23">
        <f t="shared" si="56"/>
        <v>0</v>
      </c>
      <c r="AJ249" s="23">
        <f t="shared" si="56"/>
        <v>0</v>
      </c>
      <c r="AK249" s="23">
        <f t="shared" si="56"/>
        <v>0</v>
      </c>
      <c r="AL249" s="23">
        <f t="shared" si="56"/>
        <v>0</v>
      </c>
      <c r="AM249" s="23">
        <f t="shared" si="56"/>
        <v>0</v>
      </c>
      <c r="AN249" s="23">
        <f t="shared" si="56"/>
        <v>0</v>
      </c>
      <c r="AO249" s="23">
        <f t="shared" si="56"/>
        <v>0</v>
      </c>
      <c r="AP249" s="23">
        <f t="shared" si="56"/>
        <v>0</v>
      </c>
    </row>
    <row r="250" spans="1:42" x14ac:dyDescent="0.25">
      <c r="A250" t="s">
        <v>29</v>
      </c>
      <c r="B250" s="23">
        <f>(theta($E$9,B247,$E$11,$E$12,$E$13,$E$14-$A$40,$E$15*(1+$A$43))/365)*$E$5*$E$6*10000/$A$2</f>
        <v>0</v>
      </c>
      <c r="C250" s="23">
        <f t="shared" ref="C250:AP250" si="57">(theta($E$9,C247,$E$11,$E$12,$E$13,$E$14-$A$40,$E$15*(1+$A$43))/365)*$E$5*$E$6*10000/$A$2</f>
        <v>0</v>
      </c>
      <c r="D250" s="23">
        <f t="shared" si="57"/>
        <v>0</v>
      </c>
      <c r="E250" s="23">
        <f t="shared" si="57"/>
        <v>0</v>
      </c>
      <c r="F250" s="23">
        <f t="shared" si="57"/>
        <v>0</v>
      </c>
      <c r="G250" s="23">
        <f t="shared" si="57"/>
        <v>0</v>
      </c>
      <c r="H250" s="23">
        <f t="shared" si="57"/>
        <v>0</v>
      </c>
      <c r="I250" s="23">
        <f t="shared" si="57"/>
        <v>0</v>
      </c>
      <c r="J250" s="23">
        <f t="shared" si="57"/>
        <v>0</v>
      </c>
      <c r="K250" s="23">
        <f t="shared" si="57"/>
        <v>0</v>
      </c>
      <c r="L250" s="23">
        <f t="shared" si="57"/>
        <v>0</v>
      </c>
      <c r="M250" s="23">
        <f t="shared" si="57"/>
        <v>0</v>
      </c>
      <c r="N250" s="23">
        <f t="shared" si="57"/>
        <v>0</v>
      </c>
      <c r="O250" s="23">
        <f t="shared" si="57"/>
        <v>0</v>
      </c>
      <c r="P250" s="23">
        <f t="shared" si="57"/>
        <v>0</v>
      </c>
      <c r="Q250" s="23">
        <f t="shared" si="57"/>
        <v>0</v>
      </c>
      <c r="R250" s="23">
        <f t="shared" si="57"/>
        <v>0</v>
      </c>
      <c r="S250" s="23">
        <f t="shared" si="57"/>
        <v>0</v>
      </c>
      <c r="T250" s="23">
        <f t="shared" si="57"/>
        <v>0</v>
      </c>
      <c r="U250" s="23">
        <f t="shared" si="57"/>
        <v>0</v>
      </c>
      <c r="V250" s="23">
        <f t="shared" si="57"/>
        <v>0</v>
      </c>
      <c r="W250" s="23">
        <f t="shared" si="57"/>
        <v>0</v>
      </c>
      <c r="X250" s="23">
        <f t="shared" si="57"/>
        <v>0</v>
      </c>
      <c r="Y250" s="23">
        <f t="shared" si="57"/>
        <v>0</v>
      </c>
      <c r="Z250" s="23">
        <f t="shared" si="57"/>
        <v>0</v>
      </c>
      <c r="AA250" s="23">
        <f t="shared" si="57"/>
        <v>0</v>
      </c>
      <c r="AB250" s="23">
        <f t="shared" si="57"/>
        <v>0</v>
      </c>
      <c r="AC250" s="23">
        <f t="shared" si="57"/>
        <v>0</v>
      </c>
      <c r="AD250" s="23">
        <f t="shared" si="57"/>
        <v>0</v>
      </c>
      <c r="AE250" s="23">
        <f t="shared" si="57"/>
        <v>0</v>
      </c>
      <c r="AF250" s="23">
        <f t="shared" si="57"/>
        <v>0</v>
      </c>
      <c r="AG250" s="23">
        <f t="shared" si="57"/>
        <v>0</v>
      </c>
      <c r="AH250" s="23">
        <f t="shared" si="57"/>
        <v>0</v>
      </c>
      <c r="AI250" s="23">
        <f t="shared" si="57"/>
        <v>0</v>
      </c>
      <c r="AJ250" s="23">
        <f t="shared" si="57"/>
        <v>0</v>
      </c>
      <c r="AK250" s="23">
        <f t="shared" si="57"/>
        <v>0</v>
      </c>
      <c r="AL250" s="23">
        <f t="shared" si="57"/>
        <v>0</v>
      </c>
      <c r="AM250" s="23">
        <f t="shared" si="57"/>
        <v>0</v>
      </c>
      <c r="AN250" s="23">
        <f t="shared" si="57"/>
        <v>0</v>
      </c>
      <c r="AO250" s="23">
        <f t="shared" si="57"/>
        <v>0</v>
      </c>
      <c r="AP250" s="23">
        <f t="shared" si="57"/>
        <v>0</v>
      </c>
    </row>
    <row r="251" spans="1:42" x14ac:dyDescent="0.25">
      <c r="A251" t="s">
        <v>30</v>
      </c>
      <c r="B251" s="23">
        <f>(theta($F$9,B247,$F$11,$F$12,$F$13,$F$14-$A$40,$F$15*(1+$A$43))/365)*$F$5*$F$6*10000/$A$2</f>
        <v>0</v>
      </c>
      <c r="C251" s="23">
        <f t="shared" ref="C251:AP251" si="58">(theta($F$9,C247,$F$11,$F$12,$F$13,$F$14-$A$40,$F$15*(1+$A$43))/365)*$F$5*$F$6*10000/$A$2</f>
        <v>0</v>
      </c>
      <c r="D251" s="23">
        <f t="shared" si="58"/>
        <v>0</v>
      </c>
      <c r="E251" s="23">
        <f t="shared" si="58"/>
        <v>0</v>
      </c>
      <c r="F251" s="23">
        <f t="shared" si="58"/>
        <v>0</v>
      </c>
      <c r="G251" s="23">
        <f t="shared" si="58"/>
        <v>0</v>
      </c>
      <c r="H251" s="23">
        <f t="shared" si="58"/>
        <v>0</v>
      </c>
      <c r="I251" s="23">
        <f t="shared" si="58"/>
        <v>0</v>
      </c>
      <c r="J251" s="23">
        <f t="shared" si="58"/>
        <v>0</v>
      </c>
      <c r="K251" s="23">
        <f t="shared" si="58"/>
        <v>0</v>
      </c>
      <c r="L251" s="23">
        <f t="shared" si="58"/>
        <v>0</v>
      </c>
      <c r="M251" s="23">
        <f t="shared" si="58"/>
        <v>0</v>
      </c>
      <c r="N251" s="23">
        <f t="shared" si="58"/>
        <v>0</v>
      </c>
      <c r="O251" s="23">
        <f t="shared" si="58"/>
        <v>0</v>
      </c>
      <c r="P251" s="23">
        <f t="shared" si="58"/>
        <v>0</v>
      </c>
      <c r="Q251" s="23">
        <f t="shared" si="58"/>
        <v>0</v>
      </c>
      <c r="R251" s="23">
        <f t="shared" si="58"/>
        <v>0</v>
      </c>
      <c r="S251" s="23">
        <f t="shared" si="58"/>
        <v>0</v>
      </c>
      <c r="T251" s="23">
        <f t="shared" si="58"/>
        <v>0</v>
      </c>
      <c r="U251" s="23">
        <f t="shared" si="58"/>
        <v>0</v>
      </c>
      <c r="V251" s="23">
        <f t="shared" si="58"/>
        <v>0</v>
      </c>
      <c r="W251" s="23">
        <f t="shared" si="58"/>
        <v>0</v>
      </c>
      <c r="X251" s="23">
        <f t="shared" si="58"/>
        <v>0</v>
      </c>
      <c r="Y251" s="23">
        <f t="shared" si="58"/>
        <v>0</v>
      </c>
      <c r="Z251" s="23">
        <f t="shared" si="58"/>
        <v>0</v>
      </c>
      <c r="AA251" s="23">
        <f t="shared" si="58"/>
        <v>0</v>
      </c>
      <c r="AB251" s="23">
        <f t="shared" si="58"/>
        <v>0</v>
      </c>
      <c r="AC251" s="23">
        <f t="shared" si="58"/>
        <v>0</v>
      </c>
      <c r="AD251" s="23">
        <f t="shared" si="58"/>
        <v>0</v>
      </c>
      <c r="AE251" s="23">
        <f t="shared" si="58"/>
        <v>0</v>
      </c>
      <c r="AF251" s="23">
        <f t="shared" si="58"/>
        <v>0</v>
      </c>
      <c r="AG251" s="23">
        <f t="shared" si="58"/>
        <v>0</v>
      </c>
      <c r="AH251" s="23">
        <f t="shared" si="58"/>
        <v>0</v>
      </c>
      <c r="AI251" s="23">
        <f t="shared" si="58"/>
        <v>0</v>
      </c>
      <c r="AJ251" s="23">
        <f t="shared" si="58"/>
        <v>0</v>
      </c>
      <c r="AK251" s="23">
        <f t="shared" si="58"/>
        <v>0</v>
      </c>
      <c r="AL251" s="23">
        <f t="shared" si="58"/>
        <v>0</v>
      </c>
      <c r="AM251" s="23">
        <f t="shared" si="58"/>
        <v>0</v>
      </c>
      <c r="AN251" s="23">
        <f t="shared" si="58"/>
        <v>0</v>
      </c>
      <c r="AO251" s="23">
        <f t="shared" si="58"/>
        <v>0</v>
      </c>
      <c r="AP251" s="23">
        <f t="shared" si="58"/>
        <v>0</v>
      </c>
    </row>
    <row r="252" spans="1:42" x14ac:dyDescent="0.25">
      <c r="A252" t="s">
        <v>6</v>
      </c>
      <c r="B252" s="23">
        <v>0</v>
      </c>
      <c r="C252" s="23">
        <v>0</v>
      </c>
      <c r="D252" s="23">
        <v>0</v>
      </c>
      <c r="E252" s="23">
        <v>0</v>
      </c>
      <c r="F252" s="23">
        <v>0</v>
      </c>
      <c r="G252" s="23">
        <v>0</v>
      </c>
      <c r="H252" s="60">
        <v>0</v>
      </c>
      <c r="I252" s="60">
        <v>0</v>
      </c>
      <c r="J252" s="60">
        <v>0</v>
      </c>
      <c r="K252" s="60">
        <v>0</v>
      </c>
      <c r="L252" s="60">
        <v>0</v>
      </c>
      <c r="M252" s="60">
        <v>0</v>
      </c>
      <c r="N252" s="60">
        <v>0</v>
      </c>
      <c r="O252" s="60">
        <v>0</v>
      </c>
      <c r="P252" s="60">
        <v>0</v>
      </c>
      <c r="Q252" s="60">
        <v>0</v>
      </c>
      <c r="R252" s="60">
        <v>0</v>
      </c>
      <c r="S252" s="60">
        <v>0</v>
      </c>
      <c r="T252" s="60">
        <v>0</v>
      </c>
      <c r="U252" s="60">
        <v>0</v>
      </c>
      <c r="V252" s="60">
        <v>0</v>
      </c>
      <c r="W252" s="60">
        <v>0</v>
      </c>
      <c r="X252" s="60">
        <v>0</v>
      </c>
      <c r="Y252" s="60">
        <v>0</v>
      </c>
      <c r="Z252" s="60">
        <v>0</v>
      </c>
      <c r="AA252" s="60">
        <v>0</v>
      </c>
      <c r="AB252" s="60">
        <v>0</v>
      </c>
      <c r="AC252" s="60">
        <v>0</v>
      </c>
      <c r="AD252" s="60">
        <v>0</v>
      </c>
      <c r="AE252" s="60">
        <v>0</v>
      </c>
      <c r="AF252" s="60">
        <v>0</v>
      </c>
      <c r="AG252" s="60">
        <v>0</v>
      </c>
      <c r="AH252" s="60">
        <v>0</v>
      </c>
      <c r="AI252" s="60">
        <v>0</v>
      </c>
      <c r="AJ252" s="60">
        <v>0</v>
      </c>
      <c r="AK252" s="60">
        <v>0</v>
      </c>
      <c r="AL252" s="60">
        <v>0</v>
      </c>
      <c r="AM252" s="60">
        <v>0</v>
      </c>
      <c r="AN252" s="60">
        <v>0</v>
      </c>
      <c r="AO252" s="60">
        <v>0</v>
      </c>
      <c r="AP252" s="60">
        <v>0</v>
      </c>
    </row>
    <row r="253" spans="1:42" x14ac:dyDescent="0.25">
      <c r="A253" s="7" t="s">
        <v>39</v>
      </c>
      <c r="B253" s="24">
        <f t="shared" ref="B253:AP253" si="59">SUM(B248:B252)</f>
        <v>-9.0083465063719604E-3</v>
      </c>
      <c r="C253" s="24">
        <f t="shared" si="59"/>
        <v>-1.6703239373306009E-2</v>
      </c>
      <c r="D253" s="24">
        <f t="shared" si="59"/>
        <v>-2.9866311375070079E-2</v>
      </c>
      <c r="E253" s="24">
        <f t="shared" si="59"/>
        <v>-5.1527460150388602E-2</v>
      </c>
      <c r="F253" s="24">
        <f t="shared" si="59"/>
        <v>-8.5825866576858909E-2</v>
      </c>
      <c r="G253" s="24">
        <f t="shared" si="59"/>
        <v>-0.13808966932848699</v>
      </c>
      <c r="H253" s="62">
        <f t="shared" si="59"/>
        <v>-0.21473568273931543</v>
      </c>
      <c r="I253" s="62">
        <f t="shared" si="59"/>
        <v>-0.32290828212909273</v>
      </c>
      <c r="J253" s="62">
        <f t="shared" si="59"/>
        <v>-0.46980053263391797</v>
      </c>
      <c r="K253" s="62">
        <f t="shared" si="59"/>
        <v>-0.66165288809921197</v>
      </c>
      <c r="L253" s="62">
        <f t="shared" si="59"/>
        <v>-0.90250177255640063</v>
      </c>
      <c r="M253" s="62">
        <f t="shared" si="59"/>
        <v>-1.1928384746831864</v>
      </c>
      <c r="N253" s="62">
        <f t="shared" si="59"/>
        <v>-1.5284155306271887</v>
      </c>
      <c r="O253" s="62">
        <f t="shared" si="59"/>
        <v>-1.899476812858683</v>
      </c>
      <c r="P253" s="62">
        <f t="shared" si="59"/>
        <v>-2.2906668829888686</v>
      </c>
      <c r="Q253" s="62">
        <f t="shared" si="59"/>
        <v>-2.6817858924102622</v>
      </c>
      <c r="R253" s="62">
        <f t="shared" si="59"/>
        <v>-3.0494085874772461</v>
      </c>
      <c r="S253" s="62">
        <f t="shared" si="59"/>
        <v>-3.3692093181493052</v>
      </c>
      <c r="T253" s="62">
        <f t="shared" si="59"/>
        <v>-3.6186717347241251</v>
      </c>
      <c r="U253" s="62">
        <f t="shared" si="59"/>
        <v>-3.7797555044120625</v>
      </c>
      <c r="V253" s="62">
        <f t="shared" si="59"/>
        <v>-3.8410740169376894</v>
      </c>
      <c r="W253" s="62">
        <f t="shared" si="59"/>
        <v>-3.7992153396171191</v>
      </c>
      <c r="X253" s="62">
        <f t="shared" si="59"/>
        <v>-3.6589965361140599</v>
      </c>
      <c r="Y253" s="62">
        <f t="shared" si="59"/>
        <v>-3.4326408868933806</v>
      </c>
      <c r="Z253" s="62">
        <f t="shared" si="59"/>
        <v>-3.1380609274968494</v>
      </c>
      <c r="AA253" s="62">
        <f t="shared" si="59"/>
        <v>-2.7965740502158747</v>
      </c>
      <c r="AB253" s="62">
        <f t="shared" si="59"/>
        <v>-2.4304438910463322</v>
      </c>
      <c r="AC253" s="62">
        <f t="shared" si="59"/>
        <v>-2.0606236724285187</v>
      </c>
      <c r="AD253" s="62">
        <f t="shared" si="59"/>
        <v>-1.7049915883047722</v>
      </c>
      <c r="AE253" s="62">
        <f t="shared" si="59"/>
        <v>-1.3772417100940801</v>
      </c>
      <c r="AF253" s="62">
        <f t="shared" si="59"/>
        <v>-1.0864597975709318</v>
      </c>
      <c r="AG253" s="62">
        <f t="shared" si="59"/>
        <v>-0.83730035544776471</v>
      </c>
      <c r="AH253" s="62">
        <f t="shared" si="59"/>
        <v>-0.63060727754628199</v>
      </c>
      <c r="AI253" s="62">
        <f t="shared" si="59"/>
        <v>-0.4642909354033512</v>
      </c>
      <c r="AJ253" s="62">
        <f t="shared" si="59"/>
        <v>-0.33428424832958004</v>
      </c>
      <c r="AK253" s="62">
        <f t="shared" si="59"/>
        <v>-0.23543695716322555</v>
      </c>
      <c r="AL253" s="62">
        <f t="shared" si="59"/>
        <v>-0.16225666116469911</v>
      </c>
      <c r="AM253" s="62">
        <f t="shared" si="59"/>
        <v>-0.10945445583862472</v>
      </c>
      <c r="AN253" s="62">
        <f t="shared" si="59"/>
        <v>-7.2293446861045357E-2</v>
      </c>
      <c r="AO253" s="62">
        <f t="shared" si="59"/>
        <v>-4.6765795601620821E-2</v>
      </c>
      <c r="AP253" s="62">
        <f t="shared" si="59"/>
        <v>-2.9637992679184752E-2</v>
      </c>
    </row>
    <row r="256" spans="1:42" x14ac:dyDescent="0.25">
      <c r="A256" s="7" t="s">
        <v>40</v>
      </c>
      <c r="B256" s="18">
        <f>$A$37*-20</f>
        <v>-0.1</v>
      </c>
      <c r="C256" s="18">
        <f>$A$37*-19</f>
        <v>-9.5000000000000001E-2</v>
      </c>
      <c r="D256" s="18">
        <f>$A$37*-18</f>
        <v>-0.09</v>
      </c>
      <c r="E256" s="18">
        <f>$A$37*-17</f>
        <v>-8.5000000000000006E-2</v>
      </c>
      <c r="F256" s="18">
        <f>$A$37*-16</f>
        <v>-0.08</v>
      </c>
      <c r="G256" s="18">
        <f>$A$37*-15</f>
        <v>-7.4999999999999997E-2</v>
      </c>
      <c r="H256" s="57">
        <f>$A$37*-14</f>
        <v>-7.0000000000000007E-2</v>
      </c>
      <c r="I256" s="57">
        <f>$A$37*-13</f>
        <v>-6.5000000000000002E-2</v>
      </c>
      <c r="J256" s="57">
        <f>$A$37*-12</f>
        <v>-0.06</v>
      </c>
      <c r="K256" s="57">
        <f>$A$37*-11</f>
        <v>-5.5E-2</v>
      </c>
      <c r="L256" s="57">
        <f>$A$37*-10</f>
        <v>-0.05</v>
      </c>
      <c r="M256" s="57">
        <f>$A$37*-9</f>
        <v>-4.4999999999999998E-2</v>
      </c>
      <c r="N256" s="57">
        <f>$A$37*-8</f>
        <v>-0.04</v>
      </c>
      <c r="O256" s="57">
        <f>$A$37*-7</f>
        <v>-3.5000000000000003E-2</v>
      </c>
      <c r="P256" s="57">
        <f>$A$37*-6</f>
        <v>-0.03</v>
      </c>
      <c r="Q256" s="57">
        <f>$A$37*-5</f>
        <v>-2.5000000000000001E-2</v>
      </c>
      <c r="R256" s="57">
        <f>$A$37*-4</f>
        <v>-0.02</v>
      </c>
      <c r="S256" s="57">
        <f>$A$37*-3</f>
        <v>-1.4999999999999999E-2</v>
      </c>
      <c r="T256" s="57">
        <f>$A$37*-2</f>
        <v>-0.01</v>
      </c>
      <c r="U256" s="57">
        <f>$A$37*-1</f>
        <v>-5.0000000000000001E-3</v>
      </c>
      <c r="V256" s="58">
        <v>0</v>
      </c>
      <c r="W256" s="59">
        <f>$A$37*1</f>
        <v>5.0000000000000001E-3</v>
      </c>
      <c r="X256" s="59">
        <f>$A$37*2</f>
        <v>0.01</v>
      </c>
      <c r="Y256" s="59">
        <f>$A$37*3</f>
        <v>1.4999999999999999E-2</v>
      </c>
      <c r="Z256" s="59">
        <f>$A$37*4</f>
        <v>0.02</v>
      </c>
      <c r="AA256" s="59">
        <f>$A$37*5</f>
        <v>2.5000000000000001E-2</v>
      </c>
      <c r="AB256" s="59">
        <f>$A$37*6</f>
        <v>0.03</v>
      </c>
      <c r="AC256" s="59">
        <f>$A$37*7</f>
        <v>3.5000000000000003E-2</v>
      </c>
      <c r="AD256" s="59">
        <f>$A$37*8</f>
        <v>0.04</v>
      </c>
      <c r="AE256" s="59">
        <f>$A$37*9</f>
        <v>4.4999999999999998E-2</v>
      </c>
      <c r="AF256" s="59">
        <f>$A$37*10</f>
        <v>0.05</v>
      </c>
      <c r="AG256" s="59">
        <f>$A$37*11</f>
        <v>5.5E-2</v>
      </c>
      <c r="AH256" s="59">
        <f>$A$37*12</f>
        <v>0.06</v>
      </c>
      <c r="AI256" s="59">
        <f>$A$37*13</f>
        <v>6.5000000000000002E-2</v>
      </c>
      <c r="AJ256" s="59">
        <f>$A$37*14</f>
        <v>7.0000000000000007E-2</v>
      </c>
      <c r="AK256" s="59">
        <f>$A$37*15</f>
        <v>7.4999999999999997E-2</v>
      </c>
      <c r="AL256" s="59">
        <f>$A$37*16</f>
        <v>0.08</v>
      </c>
      <c r="AM256" s="59">
        <f>$A$37*17</f>
        <v>8.5000000000000006E-2</v>
      </c>
      <c r="AN256" s="59">
        <f>$A$37*18</f>
        <v>0.09</v>
      </c>
      <c r="AO256" s="59">
        <f>$A$37*19</f>
        <v>9.5000000000000001E-2</v>
      </c>
      <c r="AP256" s="59">
        <f>$A$37*20</f>
        <v>0.1</v>
      </c>
    </row>
    <row r="257" spans="1:42" x14ac:dyDescent="0.25">
      <c r="B257" s="19">
        <f t="shared" ref="B257:U257" si="60">$V$206*(1+B256)</f>
        <v>1710</v>
      </c>
      <c r="C257" s="19">
        <f t="shared" si="60"/>
        <v>1719.5</v>
      </c>
      <c r="D257" s="19">
        <f t="shared" si="60"/>
        <v>1729</v>
      </c>
      <c r="E257" s="19">
        <f t="shared" si="60"/>
        <v>1738.5</v>
      </c>
      <c r="F257" s="19">
        <f t="shared" si="60"/>
        <v>1748</v>
      </c>
      <c r="G257" s="19">
        <f t="shared" si="60"/>
        <v>1757.5</v>
      </c>
      <c r="H257" s="60">
        <f t="shared" si="60"/>
        <v>1766.9999999999998</v>
      </c>
      <c r="I257" s="60">
        <f t="shared" si="60"/>
        <v>1776.5</v>
      </c>
      <c r="J257" s="60">
        <f t="shared" si="60"/>
        <v>1786</v>
      </c>
      <c r="K257" s="60">
        <f t="shared" si="60"/>
        <v>1795.5</v>
      </c>
      <c r="L257" s="60">
        <f t="shared" si="60"/>
        <v>1805</v>
      </c>
      <c r="M257" s="60">
        <f t="shared" si="60"/>
        <v>1814.5</v>
      </c>
      <c r="N257" s="60">
        <f t="shared" si="60"/>
        <v>1824</v>
      </c>
      <c r="O257" s="60">
        <f t="shared" si="60"/>
        <v>1833.5</v>
      </c>
      <c r="P257" s="60">
        <f t="shared" si="60"/>
        <v>1843</v>
      </c>
      <c r="Q257" s="60">
        <f t="shared" si="60"/>
        <v>1852.5</v>
      </c>
      <c r="R257" s="60">
        <f t="shared" si="60"/>
        <v>1862</v>
      </c>
      <c r="S257" s="60">
        <f t="shared" si="60"/>
        <v>1871.5</v>
      </c>
      <c r="T257" s="60">
        <f t="shared" si="60"/>
        <v>1881</v>
      </c>
      <c r="U257" s="60">
        <f t="shared" si="60"/>
        <v>1890.5</v>
      </c>
      <c r="V257" s="32">
        <f>$C$10</f>
        <v>1900</v>
      </c>
      <c r="W257" s="60">
        <f t="shared" ref="W257:AP257" si="61">$V$206*(1+W256)</f>
        <v>1909.4999999999998</v>
      </c>
      <c r="X257" s="60">
        <f t="shared" si="61"/>
        <v>1919</v>
      </c>
      <c r="Y257" s="60">
        <f t="shared" si="61"/>
        <v>1928.4999999999998</v>
      </c>
      <c r="Z257" s="60">
        <f t="shared" si="61"/>
        <v>1938</v>
      </c>
      <c r="AA257" s="60">
        <f t="shared" si="61"/>
        <v>1947.4999999999998</v>
      </c>
      <c r="AB257" s="60">
        <f t="shared" si="61"/>
        <v>1957</v>
      </c>
      <c r="AC257" s="60">
        <f t="shared" si="61"/>
        <v>1966.4999999999998</v>
      </c>
      <c r="AD257" s="60">
        <f t="shared" si="61"/>
        <v>1976</v>
      </c>
      <c r="AE257" s="60">
        <f t="shared" si="61"/>
        <v>1985.4999999999998</v>
      </c>
      <c r="AF257" s="60">
        <f t="shared" si="61"/>
        <v>1995</v>
      </c>
      <c r="AG257" s="60">
        <f t="shared" si="61"/>
        <v>2004.4999999999998</v>
      </c>
      <c r="AH257" s="60">
        <f t="shared" si="61"/>
        <v>2014</v>
      </c>
      <c r="AI257" s="60">
        <f t="shared" si="61"/>
        <v>2023.5</v>
      </c>
      <c r="AJ257" s="60">
        <f t="shared" si="61"/>
        <v>2033.0000000000002</v>
      </c>
      <c r="AK257" s="60">
        <f t="shared" si="61"/>
        <v>2042.5</v>
      </c>
      <c r="AL257" s="60">
        <f t="shared" si="61"/>
        <v>2052</v>
      </c>
      <c r="AM257" s="60">
        <f t="shared" si="61"/>
        <v>2061.5</v>
      </c>
      <c r="AN257" s="60">
        <f t="shared" si="61"/>
        <v>2071</v>
      </c>
      <c r="AO257" s="60">
        <f t="shared" si="61"/>
        <v>2080.5</v>
      </c>
      <c r="AP257" s="60">
        <f t="shared" si="61"/>
        <v>2090</v>
      </c>
    </row>
    <row r="258" spans="1:42" x14ac:dyDescent="0.25">
      <c r="A258" t="s">
        <v>27</v>
      </c>
      <c r="B258" s="23">
        <f>(vega($C$9,B257,$C$11,$C$12,$C$13,$C$14,$C$15))*$C$5*$C$6*10000/$A$2</f>
        <v>0.51239431622975695</v>
      </c>
      <c r="C258" s="23">
        <f t="shared" ref="C258:AP258" si="62">(vega($C$9,C257,$C$11,$C$12,$C$13,$C$14,$C$15))*$C$5*$C$6*10000/$A$2</f>
        <v>0.69868855957499132</v>
      </c>
      <c r="D258" s="23">
        <f t="shared" si="62"/>
        <v>0.93556136138085699</v>
      </c>
      <c r="E258" s="23">
        <f t="shared" si="62"/>
        <v>1.2305401158989244</v>
      </c>
      <c r="F258" s="23">
        <f t="shared" si="62"/>
        <v>1.5902931571154715</v>
      </c>
      <c r="G258" s="23">
        <f t="shared" si="62"/>
        <v>2.019933922883955</v>
      </c>
      <c r="H258" s="23">
        <f t="shared" si="62"/>
        <v>2.5222839748065726</v>
      </c>
      <c r="I258" s="23">
        <f t="shared" si="62"/>
        <v>3.0971599139018169</v>
      </c>
      <c r="J258" s="23">
        <f t="shared" si="62"/>
        <v>3.7407600433036126</v>
      </c>
      <c r="K258" s="23">
        <f t="shared" si="62"/>
        <v>4.4452295551665895</v>
      </c>
      <c r="L258" s="23">
        <f t="shared" si="62"/>
        <v>5.1984762946577971</v>
      </c>
      <c r="M258" s="23">
        <f t="shared" si="62"/>
        <v>5.9842922831233833</v>
      </c>
      <c r="N258" s="23">
        <f t="shared" si="62"/>
        <v>6.7828101919801043</v>
      </c>
      <c r="O258" s="23">
        <f t="shared" si="62"/>
        <v>7.5712913991507467</v>
      </c>
      <c r="P258" s="23">
        <f t="shared" si="62"/>
        <v>8.325206927419261</v>
      </c>
      <c r="Q258" s="23">
        <f t="shared" si="62"/>
        <v>9.0195389766523064</v>
      </c>
      <c r="R258" s="23">
        <f t="shared" si="62"/>
        <v>9.6302034719805238</v>
      </c>
      <c r="S258" s="23">
        <f t="shared" si="62"/>
        <v>10.135476919364857</v>
      </c>
      <c r="T258" s="23">
        <f t="shared" si="62"/>
        <v>10.517306428264764</v>
      </c>
      <c r="U258" s="23">
        <f t="shared" si="62"/>
        <v>10.762390828163978</v>
      </c>
      <c r="V258" s="23">
        <f t="shared" si="62"/>
        <v>10.862942302420727</v>
      </c>
      <c r="W258" s="23">
        <f t="shared" si="62"/>
        <v>10.817069131643464</v>
      </c>
      <c r="X258" s="23">
        <f t="shared" si="62"/>
        <v>10.62875698336831</v>
      </c>
      <c r="Y258" s="23">
        <f t="shared" si="62"/>
        <v>10.307464101858315</v>
      </c>
      <c r="Z258" s="23">
        <f t="shared" si="62"/>
        <v>9.8673802259988932</v>
      </c>
      <c r="AA258" s="23">
        <f t="shared" si="62"/>
        <v>9.3264263047345199</v>
      </c>
      <c r="AB258" s="23">
        <f t="shared" si="62"/>
        <v>8.7050895020637498</v>
      </c>
      <c r="AC258" s="23">
        <f t="shared" si="62"/>
        <v>8.0251944585935515</v>
      </c>
      <c r="AD258" s="23">
        <f t="shared" si="62"/>
        <v>7.3087076438669341</v>
      </c>
      <c r="AE258" s="23">
        <f t="shared" si="62"/>
        <v>6.576658494688167</v>
      </c>
      <c r="AF258" s="23">
        <f t="shared" si="62"/>
        <v>5.848241387451699</v>
      </c>
      <c r="AG258" s="23">
        <f t="shared" si="62"/>
        <v>5.140139285542717</v>
      </c>
      <c r="AH258" s="23">
        <f t="shared" si="62"/>
        <v>4.4660860889155254</v>
      </c>
      <c r="AI258" s="23">
        <f t="shared" si="62"/>
        <v>3.8366628700122738</v>
      </c>
      <c r="AJ258" s="23">
        <f t="shared" si="62"/>
        <v>3.2593052460292693</v>
      </c>
      <c r="AK258" s="23">
        <f t="shared" si="62"/>
        <v>2.7384862771685126</v>
      </c>
      <c r="AL258" s="23">
        <f t="shared" si="62"/>
        <v>2.276031881798247</v>
      </c>
      <c r="AM258" s="23">
        <f t="shared" si="62"/>
        <v>1.8715235331465521</v>
      </c>
      <c r="AN258" s="23">
        <f t="shared" si="62"/>
        <v>1.5227451510134555</v>
      </c>
      <c r="AO258" s="23">
        <f t="shared" si="62"/>
        <v>1.2261365207536434</v>
      </c>
      <c r="AP258" s="23">
        <f t="shared" si="62"/>
        <v>0.97722304341851729</v>
      </c>
    </row>
    <row r="259" spans="1:42" x14ac:dyDescent="0.25">
      <c r="A259" t="s">
        <v>28</v>
      </c>
      <c r="B259" s="23">
        <f>(vega($D$9,B257,$D$11,$D$12,$D$13,$D$14,$D$15))*$D$5*$D$6*10000/$A$2</f>
        <v>0</v>
      </c>
      <c r="C259" s="23">
        <f t="shared" ref="C259:AP259" si="63">(vega($D$9,C257,$D$11,$D$12,$D$13,$D$14,$D$15))*$D$5*$D$6*10000/$A$2</f>
        <v>0</v>
      </c>
      <c r="D259" s="23">
        <f t="shared" si="63"/>
        <v>0</v>
      </c>
      <c r="E259" s="23">
        <f t="shared" si="63"/>
        <v>0</v>
      </c>
      <c r="F259" s="23">
        <f t="shared" si="63"/>
        <v>0</v>
      </c>
      <c r="G259" s="23">
        <f t="shared" si="63"/>
        <v>0</v>
      </c>
      <c r="H259" s="23">
        <f t="shared" si="63"/>
        <v>0</v>
      </c>
      <c r="I259" s="23">
        <f t="shared" si="63"/>
        <v>0</v>
      </c>
      <c r="J259" s="23">
        <f t="shared" si="63"/>
        <v>0</v>
      </c>
      <c r="K259" s="23">
        <f t="shared" si="63"/>
        <v>0</v>
      </c>
      <c r="L259" s="23">
        <f t="shared" si="63"/>
        <v>0</v>
      </c>
      <c r="M259" s="23">
        <f t="shared" si="63"/>
        <v>0</v>
      </c>
      <c r="N259" s="23">
        <f t="shared" si="63"/>
        <v>0</v>
      </c>
      <c r="O259" s="23">
        <f t="shared" si="63"/>
        <v>0</v>
      </c>
      <c r="P259" s="23">
        <f t="shared" si="63"/>
        <v>0</v>
      </c>
      <c r="Q259" s="23">
        <f t="shared" si="63"/>
        <v>0</v>
      </c>
      <c r="R259" s="23">
        <f t="shared" si="63"/>
        <v>0</v>
      </c>
      <c r="S259" s="23">
        <f t="shared" si="63"/>
        <v>0</v>
      </c>
      <c r="T259" s="23">
        <f t="shared" si="63"/>
        <v>0</v>
      </c>
      <c r="U259" s="23">
        <f t="shared" si="63"/>
        <v>0</v>
      </c>
      <c r="V259" s="23">
        <f t="shared" si="63"/>
        <v>0</v>
      </c>
      <c r="W259" s="23">
        <f t="shared" si="63"/>
        <v>0</v>
      </c>
      <c r="X259" s="23">
        <f t="shared" si="63"/>
        <v>0</v>
      </c>
      <c r="Y259" s="23">
        <f t="shared" si="63"/>
        <v>0</v>
      </c>
      <c r="Z259" s="23">
        <f t="shared" si="63"/>
        <v>0</v>
      </c>
      <c r="AA259" s="23">
        <f t="shared" si="63"/>
        <v>0</v>
      </c>
      <c r="AB259" s="23">
        <f t="shared" si="63"/>
        <v>0</v>
      </c>
      <c r="AC259" s="23">
        <f t="shared" si="63"/>
        <v>0</v>
      </c>
      <c r="AD259" s="23">
        <f t="shared" si="63"/>
        <v>0</v>
      </c>
      <c r="AE259" s="23">
        <f t="shared" si="63"/>
        <v>0</v>
      </c>
      <c r="AF259" s="23">
        <f t="shared" si="63"/>
        <v>0</v>
      </c>
      <c r="AG259" s="23">
        <f t="shared" si="63"/>
        <v>0</v>
      </c>
      <c r="AH259" s="23">
        <f t="shared" si="63"/>
        <v>0</v>
      </c>
      <c r="AI259" s="23">
        <f t="shared" si="63"/>
        <v>0</v>
      </c>
      <c r="AJ259" s="23">
        <f t="shared" si="63"/>
        <v>0</v>
      </c>
      <c r="AK259" s="23">
        <f t="shared" si="63"/>
        <v>0</v>
      </c>
      <c r="AL259" s="23">
        <f t="shared" si="63"/>
        <v>0</v>
      </c>
      <c r="AM259" s="23">
        <f t="shared" si="63"/>
        <v>0</v>
      </c>
      <c r="AN259" s="23">
        <f t="shared" si="63"/>
        <v>0</v>
      </c>
      <c r="AO259" s="23">
        <f t="shared" si="63"/>
        <v>0</v>
      </c>
      <c r="AP259" s="23">
        <f t="shared" si="63"/>
        <v>0</v>
      </c>
    </row>
    <row r="260" spans="1:42" x14ac:dyDescent="0.25">
      <c r="A260" t="s">
        <v>29</v>
      </c>
      <c r="B260" s="23">
        <f>(vega($E$9,B257,$E$11,$E$12,$E$13,$E$14,$E$15))*$E$5*$E$6*10000/$A$2</f>
        <v>0</v>
      </c>
      <c r="C260" s="23">
        <f t="shared" ref="C260:AP260" si="64">(vega($E$9,C257,$E$11,$E$12,$E$13,$E$14,$E$15))*$E$5*$E$6*10000/$A$2</f>
        <v>0</v>
      </c>
      <c r="D260" s="23">
        <f t="shared" si="64"/>
        <v>0</v>
      </c>
      <c r="E260" s="23">
        <f t="shared" si="64"/>
        <v>0</v>
      </c>
      <c r="F260" s="23">
        <f t="shared" si="64"/>
        <v>0</v>
      </c>
      <c r="G260" s="23">
        <f t="shared" si="64"/>
        <v>0</v>
      </c>
      <c r="H260" s="23">
        <f t="shared" si="64"/>
        <v>0</v>
      </c>
      <c r="I260" s="23">
        <f t="shared" si="64"/>
        <v>0</v>
      </c>
      <c r="J260" s="23">
        <f t="shared" si="64"/>
        <v>0</v>
      </c>
      <c r="K260" s="23">
        <f t="shared" si="64"/>
        <v>0</v>
      </c>
      <c r="L260" s="23">
        <f t="shared" si="64"/>
        <v>0</v>
      </c>
      <c r="M260" s="23">
        <f t="shared" si="64"/>
        <v>0</v>
      </c>
      <c r="N260" s="23">
        <f t="shared" si="64"/>
        <v>0</v>
      </c>
      <c r="O260" s="23">
        <f t="shared" si="64"/>
        <v>0</v>
      </c>
      <c r="P260" s="23">
        <f t="shared" si="64"/>
        <v>0</v>
      </c>
      <c r="Q260" s="23">
        <f t="shared" si="64"/>
        <v>0</v>
      </c>
      <c r="R260" s="23">
        <f t="shared" si="64"/>
        <v>0</v>
      </c>
      <c r="S260" s="23">
        <f t="shared" si="64"/>
        <v>0</v>
      </c>
      <c r="T260" s="23">
        <f t="shared" si="64"/>
        <v>0</v>
      </c>
      <c r="U260" s="23">
        <f t="shared" si="64"/>
        <v>0</v>
      </c>
      <c r="V260" s="23">
        <f t="shared" si="64"/>
        <v>0</v>
      </c>
      <c r="W260" s="23">
        <f t="shared" si="64"/>
        <v>0</v>
      </c>
      <c r="X260" s="23">
        <f t="shared" si="64"/>
        <v>0</v>
      </c>
      <c r="Y260" s="23">
        <f t="shared" si="64"/>
        <v>0</v>
      </c>
      <c r="Z260" s="23">
        <f t="shared" si="64"/>
        <v>0</v>
      </c>
      <c r="AA260" s="23">
        <f t="shared" si="64"/>
        <v>0</v>
      </c>
      <c r="AB260" s="23">
        <f t="shared" si="64"/>
        <v>0</v>
      </c>
      <c r="AC260" s="23">
        <f t="shared" si="64"/>
        <v>0</v>
      </c>
      <c r="AD260" s="23">
        <f t="shared" si="64"/>
        <v>0</v>
      </c>
      <c r="AE260" s="23">
        <f t="shared" si="64"/>
        <v>0</v>
      </c>
      <c r="AF260" s="23">
        <f t="shared" si="64"/>
        <v>0</v>
      </c>
      <c r="AG260" s="23">
        <f t="shared" si="64"/>
        <v>0</v>
      </c>
      <c r="AH260" s="23">
        <f t="shared" si="64"/>
        <v>0</v>
      </c>
      <c r="AI260" s="23">
        <f t="shared" si="64"/>
        <v>0</v>
      </c>
      <c r="AJ260" s="23">
        <f t="shared" si="64"/>
        <v>0</v>
      </c>
      <c r="AK260" s="23">
        <f t="shared" si="64"/>
        <v>0</v>
      </c>
      <c r="AL260" s="23">
        <f t="shared" si="64"/>
        <v>0</v>
      </c>
      <c r="AM260" s="23">
        <f t="shared" si="64"/>
        <v>0</v>
      </c>
      <c r="AN260" s="23">
        <f t="shared" si="64"/>
        <v>0</v>
      </c>
      <c r="AO260" s="23">
        <f t="shared" si="64"/>
        <v>0</v>
      </c>
      <c r="AP260" s="23">
        <f t="shared" si="64"/>
        <v>0</v>
      </c>
    </row>
    <row r="261" spans="1:42" x14ac:dyDescent="0.25">
      <c r="A261" t="s">
        <v>30</v>
      </c>
      <c r="B261" s="23">
        <f>(vega($F$9,B257,$F$11,$F$12,$F$13,$F$14,$F$15))*$F$5*$F$6*10000/$A$2</f>
        <v>0</v>
      </c>
      <c r="C261" s="23">
        <f t="shared" ref="C261:AP261" si="65">(vega($F$9,C257,$F$11,$F$12,$F$13,$F$14,$F$15))*$F$5*$F$6*10000/$A$2</f>
        <v>0</v>
      </c>
      <c r="D261" s="23">
        <f t="shared" si="65"/>
        <v>0</v>
      </c>
      <c r="E261" s="23">
        <f t="shared" si="65"/>
        <v>0</v>
      </c>
      <c r="F261" s="23">
        <f t="shared" si="65"/>
        <v>0</v>
      </c>
      <c r="G261" s="23">
        <f t="shared" si="65"/>
        <v>0</v>
      </c>
      <c r="H261" s="23">
        <f t="shared" si="65"/>
        <v>0</v>
      </c>
      <c r="I261" s="23">
        <f t="shared" si="65"/>
        <v>0</v>
      </c>
      <c r="J261" s="23">
        <f t="shared" si="65"/>
        <v>0</v>
      </c>
      <c r="K261" s="23">
        <f t="shared" si="65"/>
        <v>0</v>
      </c>
      <c r="L261" s="23">
        <f t="shared" si="65"/>
        <v>0</v>
      </c>
      <c r="M261" s="23">
        <f t="shared" si="65"/>
        <v>0</v>
      </c>
      <c r="N261" s="23">
        <f t="shared" si="65"/>
        <v>0</v>
      </c>
      <c r="O261" s="23">
        <f t="shared" si="65"/>
        <v>0</v>
      </c>
      <c r="P261" s="23">
        <f t="shared" si="65"/>
        <v>0</v>
      </c>
      <c r="Q261" s="23">
        <f t="shared" si="65"/>
        <v>0</v>
      </c>
      <c r="R261" s="23">
        <f t="shared" si="65"/>
        <v>0</v>
      </c>
      <c r="S261" s="23">
        <f t="shared" si="65"/>
        <v>0</v>
      </c>
      <c r="T261" s="23">
        <f t="shared" si="65"/>
        <v>0</v>
      </c>
      <c r="U261" s="23">
        <f t="shared" si="65"/>
        <v>0</v>
      </c>
      <c r="V261" s="23">
        <f t="shared" si="65"/>
        <v>0</v>
      </c>
      <c r="W261" s="23">
        <f t="shared" si="65"/>
        <v>0</v>
      </c>
      <c r="X261" s="23">
        <f t="shared" si="65"/>
        <v>0</v>
      </c>
      <c r="Y261" s="23">
        <f t="shared" si="65"/>
        <v>0</v>
      </c>
      <c r="Z261" s="23">
        <f t="shared" si="65"/>
        <v>0</v>
      </c>
      <c r="AA261" s="23">
        <f t="shared" si="65"/>
        <v>0</v>
      </c>
      <c r="AB261" s="23">
        <f t="shared" si="65"/>
        <v>0</v>
      </c>
      <c r="AC261" s="23">
        <f t="shared" si="65"/>
        <v>0</v>
      </c>
      <c r="AD261" s="23">
        <f t="shared" si="65"/>
        <v>0</v>
      </c>
      <c r="AE261" s="23">
        <f t="shared" si="65"/>
        <v>0</v>
      </c>
      <c r="AF261" s="23">
        <f t="shared" si="65"/>
        <v>0</v>
      </c>
      <c r="AG261" s="23">
        <f t="shared" si="65"/>
        <v>0</v>
      </c>
      <c r="AH261" s="23">
        <f t="shared" si="65"/>
        <v>0</v>
      </c>
      <c r="AI261" s="23">
        <f t="shared" si="65"/>
        <v>0</v>
      </c>
      <c r="AJ261" s="23">
        <f t="shared" si="65"/>
        <v>0</v>
      </c>
      <c r="AK261" s="23">
        <f t="shared" si="65"/>
        <v>0</v>
      </c>
      <c r="AL261" s="23">
        <f t="shared" si="65"/>
        <v>0</v>
      </c>
      <c r="AM261" s="23">
        <f t="shared" si="65"/>
        <v>0</v>
      </c>
      <c r="AN261" s="23">
        <f t="shared" si="65"/>
        <v>0</v>
      </c>
      <c r="AO261" s="23">
        <f t="shared" si="65"/>
        <v>0</v>
      </c>
      <c r="AP261" s="23">
        <f t="shared" si="65"/>
        <v>0</v>
      </c>
    </row>
    <row r="262" spans="1:42" x14ac:dyDescent="0.25">
      <c r="A262" t="s">
        <v>6</v>
      </c>
      <c r="B262" s="23">
        <v>0</v>
      </c>
      <c r="C262" s="23">
        <v>0</v>
      </c>
      <c r="D262" s="23">
        <v>0</v>
      </c>
      <c r="E262" s="23">
        <v>0</v>
      </c>
      <c r="F262" s="23">
        <v>0</v>
      </c>
      <c r="G262" s="23">
        <v>0</v>
      </c>
      <c r="H262" s="60">
        <v>0</v>
      </c>
      <c r="I262" s="60">
        <v>0</v>
      </c>
      <c r="J262" s="60">
        <v>0</v>
      </c>
      <c r="K262" s="60">
        <v>0</v>
      </c>
      <c r="L262" s="60">
        <v>0</v>
      </c>
      <c r="M262" s="60">
        <v>0</v>
      </c>
      <c r="N262" s="60">
        <v>0</v>
      </c>
      <c r="O262" s="60">
        <v>0</v>
      </c>
      <c r="P262" s="60">
        <v>0</v>
      </c>
      <c r="Q262" s="60">
        <v>0</v>
      </c>
      <c r="R262" s="60">
        <v>0</v>
      </c>
      <c r="S262" s="60">
        <v>0</v>
      </c>
      <c r="T262" s="60">
        <v>0</v>
      </c>
      <c r="U262" s="60">
        <v>0</v>
      </c>
      <c r="V262" s="60">
        <v>0</v>
      </c>
      <c r="W262" s="60">
        <v>0</v>
      </c>
      <c r="X262" s="60">
        <v>0</v>
      </c>
      <c r="Y262" s="60">
        <v>0</v>
      </c>
      <c r="Z262" s="60">
        <v>0</v>
      </c>
      <c r="AA262" s="60">
        <v>0</v>
      </c>
      <c r="AB262" s="60">
        <v>0</v>
      </c>
      <c r="AC262" s="60">
        <v>0</v>
      </c>
      <c r="AD262" s="60">
        <v>0</v>
      </c>
      <c r="AE262" s="60">
        <v>0</v>
      </c>
      <c r="AF262" s="60">
        <v>0</v>
      </c>
      <c r="AG262" s="60">
        <v>0</v>
      </c>
      <c r="AH262" s="60">
        <v>0</v>
      </c>
      <c r="AI262" s="60">
        <v>0</v>
      </c>
      <c r="AJ262" s="60">
        <v>0</v>
      </c>
      <c r="AK262" s="60">
        <v>0</v>
      </c>
      <c r="AL262" s="60">
        <v>0</v>
      </c>
      <c r="AM262" s="60">
        <v>0</v>
      </c>
      <c r="AN262" s="60">
        <v>0</v>
      </c>
      <c r="AO262" s="60">
        <v>0</v>
      </c>
      <c r="AP262" s="60">
        <v>0</v>
      </c>
    </row>
    <row r="263" spans="1:42" x14ac:dyDescent="0.25">
      <c r="A263" s="7" t="s">
        <v>41</v>
      </c>
      <c r="B263" s="24">
        <f>SUM(B258:B262)</f>
        <v>0.51239431622975695</v>
      </c>
      <c r="C263" s="24">
        <f t="shared" ref="C263:V263" si="66">SUM(C258:C262)</f>
        <v>0.69868855957499132</v>
      </c>
      <c r="D263" s="24">
        <f t="shared" si="66"/>
        <v>0.93556136138085699</v>
      </c>
      <c r="E263" s="24">
        <f t="shared" si="66"/>
        <v>1.2305401158989244</v>
      </c>
      <c r="F263" s="24">
        <f t="shared" si="66"/>
        <v>1.5902931571154715</v>
      </c>
      <c r="G263" s="24">
        <f t="shared" si="66"/>
        <v>2.019933922883955</v>
      </c>
      <c r="H263" s="62">
        <f t="shared" si="66"/>
        <v>2.5222839748065726</v>
      </c>
      <c r="I263" s="62">
        <f t="shared" si="66"/>
        <v>3.0971599139018169</v>
      </c>
      <c r="J263" s="62">
        <f t="shared" si="66"/>
        <v>3.7407600433036126</v>
      </c>
      <c r="K263" s="62">
        <f t="shared" si="66"/>
        <v>4.4452295551665895</v>
      </c>
      <c r="L263" s="62">
        <f t="shared" si="66"/>
        <v>5.1984762946577971</v>
      </c>
      <c r="M263" s="62">
        <f t="shared" si="66"/>
        <v>5.9842922831233833</v>
      </c>
      <c r="N263" s="62">
        <f t="shared" si="66"/>
        <v>6.7828101919801043</v>
      </c>
      <c r="O263" s="62">
        <f t="shared" si="66"/>
        <v>7.5712913991507467</v>
      </c>
      <c r="P263" s="62">
        <f t="shared" si="66"/>
        <v>8.325206927419261</v>
      </c>
      <c r="Q263" s="62">
        <f t="shared" si="66"/>
        <v>9.0195389766523064</v>
      </c>
      <c r="R263" s="62">
        <f t="shared" si="66"/>
        <v>9.6302034719805238</v>
      </c>
      <c r="S263" s="62">
        <f t="shared" si="66"/>
        <v>10.135476919364857</v>
      </c>
      <c r="T263" s="62">
        <f t="shared" si="66"/>
        <v>10.517306428264764</v>
      </c>
      <c r="U263" s="62">
        <f t="shared" si="66"/>
        <v>10.762390828163978</v>
      </c>
      <c r="V263" s="62">
        <f t="shared" si="66"/>
        <v>10.862942302420727</v>
      </c>
      <c r="W263" s="62">
        <f t="shared" ref="W263:AP263" si="67">SUM(W258:W262)</f>
        <v>10.817069131643464</v>
      </c>
      <c r="X263" s="62">
        <f t="shared" si="67"/>
        <v>10.62875698336831</v>
      </c>
      <c r="Y263" s="62">
        <f t="shared" si="67"/>
        <v>10.307464101858315</v>
      </c>
      <c r="Z263" s="62">
        <f t="shared" si="67"/>
        <v>9.8673802259988932</v>
      </c>
      <c r="AA263" s="62">
        <f t="shared" si="67"/>
        <v>9.3264263047345199</v>
      </c>
      <c r="AB263" s="62">
        <f t="shared" si="67"/>
        <v>8.7050895020637498</v>
      </c>
      <c r="AC263" s="62">
        <f t="shared" si="67"/>
        <v>8.0251944585935515</v>
      </c>
      <c r="AD263" s="62">
        <f t="shared" si="67"/>
        <v>7.3087076438669341</v>
      </c>
      <c r="AE263" s="62">
        <f t="shared" si="67"/>
        <v>6.576658494688167</v>
      </c>
      <c r="AF263" s="62">
        <f t="shared" si="67"/>
        <v>5.848241387451699</v>
      </c>
      <c r="AG263" s="62">
        <f t="shared" si="67"/>
        <v>5.140139285542717</v>
      </c>
      <c r="AH263" s="62">
        <f t="shared" si="67"/>
        <v>4.4660860889155254</v>
      </c>
      <c r="AI263" s="62">
        <f t="shared" si="67"/>
        <v>3.8366628700122738</v>
      </c>
      <c r="AJ263" s="62">
        <f t="shared" si="67"/>
        <v>3.2593052460292693</v>
      </c>
      <c r="AK263" s="62">
        <f t="shared" si="67"/>
        <v>2.7384862771685126</v>
      </c>
      <c r="AL263" s="62">
        <f t="shared" si="67"/>
        <v>2.276031881798247</v>
      </c>
      <c r="AM263" s="62">
        <f t="shared" si="67"/>
        <v>1.8715235331465521</v>
      </c>
      <c r="AN263" s="62">
        <f t="shared" si="67"/>
        <v>1.5227451510134555</v>
      </c>
      <c r="AO263" s="62">
        <f t="shared" si="67"/>
        <v>1.2261365207536434</v>
      </c>
      <c r="AP263" s="62">
        <f t="shared" si="67"/>
        <v>0.97722304341851729</v>
      </c>
    </row>
    <row r="264" spans="1:42" x14ac:dyDescent="0.25">
      <c r="B264" s="19">
        <f t="shared" ref="B264:L264" si="68">B257</f>
        <v>1710</v>
      </c>
      <c r="C264" s="19">
        <f t="shared" si="68"/>
        <v>1719.5</v>
      </c>
      <c r="D264" s="19">
        <f t="shared" si="68"/>
        <v>1729</v>
      </c>
      <c r="E264" s="19">
        <f t="shared" si="68"/>
        <v>1738.5</v>
      </c>
      <c r="F264" s="19">
        <f t="shared" si="68"/>
        <v>1748</v>
      </c>
      <c r="G264" s="19">
        <f t="shared" si="68"/>
        <v>1757.5</v>
      </c>
      <c r="H264" s="60">
        <f t="shared" si="68"/>
        <v>1766.9999999999998</v>
      </c>
      <c r="I264" s="60">
        <f t="shared" si="68"/>
        <v>1776.5</v>
      </c>
      <c r="J264" s="60">
        <f t="shared" si="68"/>
        <v>1786</v>
      </c>
      <c r="K264" s="60">
        <f t="shared" si="68"/>
        <v>1795.5</v>
      </c>
      <c r="L264" s="60">
        <f t="shared" si="68"/>
        <v>1805</v>
      </c>
      <c r="M264" s="60">
        <f t="shared" ref="M264:V264" si="69">M257</f>
        <v>1814.5</v>
      </c>
      <c r="N264" s="60">
        <f t="shared" si="69"/>
        <v>1824</v>
      </c>
      <c r="O264" s="60">
        <f t="shared" si="69"/>
        <v>1833.5</v>
      </c>
      <c r="P264" s="60">
        <f t="shared" si="69"/>
        <v>1843</v>
      </c>
      <c r="Q264" s="60">
        <f t="shared" si="69"/>
        <v>1852.5</v>
      </c>
      <c r="R264" s="60">
        <f t="shared" si="69"/>
        <v>1862</v>
      </c>
      <c r="S264" s="60">
        <f t="shared" si="69"/>
        <v>1871.5</v>
      </c>
      <c r="T264" s="60">
        <f t="shared" si="69"/>
        <v>1881</v>
      </c>
      <c r="U264" s="60">
        <f t="shared" si="69"/>
        <v>1890.5</v>
      </c>
      <c r="V264" s="60">
        <f t="shared" si="69"/>
        <v>1900</v>
      </c>
      <c r="W264" s="60">
        <f t="shared" ref="W264:AP264" si="70">W257</f>
        <v>1909.4999999999998</v>
      </c>
      <c r="X264" s="60">
        <f t="shared" si="70"/>
        <v>1919</v>
      </c>
      <c r="Y264" s="60">
        <f t="shared" si="70"/>
        <v>1928.4999999999998</v>
      </c>
      <c r="Z264" s="60">
        <f t="shared" si="70"/>
        <v>1938</v>
      </c>
      <c r="AA264" s="60">
        <f t="shared" si="70"/>
        <v>1947.4999999999998</v>
      </c>
      <c r="AB264" s="60">
        <f t="shared" si="70"/>
        <v>1957</v>
      </c>
      <c r="AC264" s="60">
        <f t="shared" si="70"/>
        <v>1966.4999999999998</v>
      </c>
      <c r="AD264" s="60">
        <f t="shared" si="70"/>
        <v>1976</v>
      </c>
      <c r="AE264" s="60">
        <f t="shared" si="70"/>
        <v>1985.4999999999998</v>
      </c>
      <c r="AF264" s="60">
        <f t="shared" si="70"/>
        <v>1995</v>
      </c>
      <c r="AG264" s="60">
        <f t="shared" si="70"/>
        <v>2004.4999999999998</v>
      </c>
      <c r="AH264" s="60">
        <f t="shared" si="70"/>
        <v>2014</v>
      </c>
      <c r="AI264" s="60">
        <f t="shared" si="70"/>
        <v>2023.5</v>
      </c>
      <c r="AJ264" s="60">
        <f t="shared" si="70"/>
        <v>2033.0000000000002</v>
      </c>
      <c r="AK264" s="60">
        <f t="shared" si="70"/>
        <v>2042.5</v>
      </c>
      <c r="AL264" s="60">
        <f t="shared" si="70"/>
        <v>2052</v>
      </c>
      <c r="AM264" s="60">
        <f t="shared" si="70"/>
        <v>2061.5</v>
      </c>
      <c r="AN264" s="60">
        <f t="shared" si="70"/>
        <v>2071</v>
      </c>
      <c r="AO264" s="60">
        <f t="shared" si="70"/>
        <v>2080.5</v>
      </c>
      <c r="AP264" s="60">
        <f t="shared" si="70"/>
        <v>2090</v>
      </c>
    </row>
    <row r="265" spans="1:42" x14ac:dyDescent="0.25">
      <c r="A265" t="s">
        <v>27</v>
      </c>
      <c r="B265" s="23">
        <f>(vega($C$9,B264,$C$11,$C$12,$C$13,$C$14-$A$40,$C$15*(1+$A$43)))*$C$5*$C$6*10000/$A$2</f>
        <v>1.8016693012743928E-2</v>
      </c>
      <c r="C265" s="23">
        <f t="shared" ref="C265:AP265" si="71">(vega($C$9,C264,$C$11,$C$12,$C$13,$C$14-$A$40,$C$15*(1+$A$43)))*$C$5*$C$6*10000/$A$2</f>
        <v>3.3406478746612019E-2</v>
      </c>
      <c r="D265" s="23">
        <f t="shared" si="71"/>
        <v>5.9732622750140164E-2</v>
      </c>
      <c r="E265" s="23">
        <f t="shared" si="71"/>
        <v>0.10305492030077724</v>
      </c>
      <c r="F265" s="23">
        <f t="shared" si="71"/>
        <v>0.17165173315371782</v>
      </c>
      <c r="G265" s="23">
        <f t="shared" si="71"/>
        <v>0.27617933865697397</v>
      </c>
      <c r="H265" s="23">
        <f t="shared" si="71"/>
        <v>0.42947136547863085</v>
      </c>
      <c r="I265" s="23">
        <f t="shared" si="71"/>
        <v>0.64581656425818557</v>
      </c>
      <c r="J265" s="23">
        <f t="shared" si="71"/>
        <v>0.93960106526783593</v>
      </c>
      <c r="K265" s="23">
        <f t="shared" si="71"/>
        <v>1.3233057761984242</v>
      </c>
      <c r="L265" s="23">
        <f t="shared" si="71"/>
        <v>1.8050035451128013</v>
      </c>
      <c r="M265" s="23">
        <f t="shared" si="71"/>
        <v>2.3856769493663732</v>
      </c>
      <c r="N265" s="23">
        <f t="shared" si="71"/>
        <v>3.0568310612543783</v>
      </c>
      <c r="O265" s="23">
        <f t="shared" si="71"/>
        <v>3.7989536257173673</v>
      </c>
      <c r="P265" s="23">
        <f t="shared" si="71"/>
        <v>4.5813337659777389</v>
      </c>
      <c r="Q265" s="23">
        <f t="shared" si="71"/>
        <v>5.3635717848205244</v>
      </c>
      <c r="R265" s="23">
        <f t="shared" si="71"/>
        <v>6.0988171749544922</v>
      </c>
      <c r="S265" s="23">
        <f t="shared" si="71"/>
        <v>6.7384186362986105</v>
      </c>
      <c r="T265" s="23">
        <f t="shared" si="71"/>
        <v>7.2373434694482501</v>
      </c>
      <c r="U265" s="23">
        <f t="shared" si="71"/>
        <v>7.5595110088241251</v>
      </c>
      <c r="V265" s="23">
        <f t="shared" si="71"/>
        <v>7.6821480338753805</v>
      </c>
      <c r="W265" s="23">
        <f t="shared" si="71"/>
        <v>7.5984306792342391</v>
      </c>
      <c r="X265" s="23">
        <f t="shared" si="71"/>
        <v>7.3179930722281217</v>
      </c>
      <c r="Y265" s="23">
        <f t="shared" si="71"/>
        <v>6.8652817737867622</v>
      </c>
      <c r="Z265" s="23">
        <f t="shared" si="71"/>
        <v>6.2761218549936997</v>
      </c>
      <c r="AA265" s="23">
        <f t="shared" si="71"/>
        <v>5.5931481004317485</v>
      </c>
      <c r="AB265" s="23">
        <f t="shared" si="71"/>
        <v>4.8608877820926644</v>
      </c>
      <c r="AC265" s="23">
        <f t="shared" si="71"/>
        <v>4.1212473448570393</v>
      </c>
      <c r="AD265" s="23">
        <f t="shared" si="71"/>
        <v>3.4099831766095443</v>
      </c>
      <c r="AE265" s="23">
        <f t="shared" si="71"/>
        <v>2.7544834201881612</v>
      </c>
      <c r="AF265" s="23">
        <f t="shared" si="71"/>
        <v>2.1729195951418636</v>
      </c>
      <c r="AG265" s="23">
        <f t="shared" si="71"/>
        <v>1.6746007108955296</v>
      </c>
      <c r="AH265" s="23">
        <f t="shared" si="71"/>
        <v>1.261214555092564</v>
      </c>
      <c r="AI265" s="23">
        <f t="shared" si="71"/>
        <v>0.9285818708067024</v>
      </c>
      <c r="AJ265" s="23">
        <f t="shared" si="71"/>
        <v>0.66856849665916007</v>
      </c>
      <c r="AK265" s="23">
        <f t="shared" si="71"/>
        <v>0.47087391432645098</v>
      </c>
      <c r="AL265" s="23">
        <f t="shared" si="71"/>
        <v>0.32451332232939822</v>
      </c>
      <c r="AM265" s="23">
        <f t="shared" si="71"/>
        <v>0.21890891167724946</v>
      </c>
      <c r="AN265" s="23">
        <f t="shared" si="71"/>
        <v>0.14458689372209074</v>
      </c>
      <c r="AO265" s="23">
        <f t="shared" si="71"/>
        <v>9.3531591203241629E-2</v>
      </c>
      <c r="AP265" s="23">
        <f t="shared" si="71"/>
        <v>5.9275985358369511E-2</v>
      </c>
    </row>
    <row r="266" spans="1:42" x14ac:dyDescent="0.25">
      <c r="A266" t="s">
        <v>28</v>
      </c>
      <c r="B266" s="23">
        <f>(vega($D$9,B264,$D$11,$D$12,$D$13,$D$14-$A$40,$D$15*(1+$A$43)))*$D$5*$D$6*10000/$A$2</f>
        <v>0</v>
      </c>
      <c r="C266" s="23">
        <f t="shared" ref="C266:AP266" si="72">(vega($D$9,C264,$D$11,$D$12,$D$13,$D$14-$A$40,$D$15*(1+$A$43)))*$D$5*$D$6*10000/$A$2</f>
        <v>0</v>
      </c>
      <c r="D266" s="23">
        <f t="shared" si="72"/>
        <v>0</v>
      </c>
      <c r="E266" s="23">
        <f t="shared" si="72"/>
        <v>0</v>
      </c>
      <c r="F266" s="23">
        <f t="shared" si="72"/>
        <v>0</v>
      </c>
      <c r="G266" s="23">
        <f t="shared" si="72"/>
        <v>0</v>
      </c>
      <c r="H266" s="23">
        <f t="shared" si="72"/>
        <v>0</v>
      </c>
      <c r="I266" s="23">
        <f t="shared" si="72"/>
        <v>0</v>
      </c>
      <c r="J266" s="23">
        <f t="shared" si="72"/>
        <v>0</v>
      </c>
      <c r="K266" s="23">
        <f t="shared" si="72"/>
        <v>0</v>
      </c>
      <c r="L266" s="23">
        <f t="shared" si="72"/>
        <v>0</v>
      </c>
      <c r="M266" s="23">
        <f t="shared" si="72"/>
        <v>0</v>
      </c>
      <c r="N266" s="23">
        <f t="shared" si="72"/>
        <v>0</v>
      </c>
      <c r="O266" s="23">
        <f t="shared" si="72"/>
        <v>0</v>
      </c>
      <c r="P266" s="23">
        <f t="shared" si="72"/>
        <v>0</v>
      </c>
      <c r="Q266" s="23">
        <f t="shared" si="72"/>
        <v>0</v>
      </c>
      <c r="R266" s="23">
        <f t="shared" si="72"/>
        <v>0</v>
      </c>
      <c r="S266" s="23">
        <f t="shared" si="72"/>
        <v>0</v>
      </c>
      <c r="T266" s="23">
        <f t="shared" si="72"/>
        <v>0</v>
      </c>
      <c r="U266" s="23">
        <f t="shared" si="72"/>
        <v>0</v>
      </c>
      <c r="V266" s="23">
        <f t="shared" si="72"/>
        <v>0</v>
      </c>
      <c r="W266" s="23">
        <f t="shared" si="72"/>
        <v>0</v>
      </c>
      <c r="X266" s="23">
        <f t="shared" si="72"/>
        <v>0</v>
      </c>
      <c r="Y266" s="23">
        <f t="shared" si="72"/>
        <v>0</v>
      </c>
      <c r="Z266" s="23">
        <f t="shared" si="72"/>
        <v>0</v>
      </c>
      <c r="AA266" s="23">
        <f t="shared" si="72"/>
        <v>0</v>
      </c>
      <c r="AB266" s="23">
        <f t="shared" si="72"/>
        <v>0</v>
      </c>
      <c r="AC266" s="23">
        <f t="shared" si="72"/>
        <v>0</v>
      </c>
      <c r="AD266" s="23">
        <f t="shared" si="72"/>
        <v>0</v>
      </c>
      <c r="AE266" s="23">
        <f t="shared" si="72"/>
        <v>0</v>
      </c>
      <c r="AF266" s="23">
        <f t="shared" si="72"/>
        <v>0</v>
      </c>
      <c r="AG266" s="23">
        <f t="shared" si="72"/>
        <v>0</v>
      </c>
      <c r="AH266" s="23">
        <f t="shared" si="72"/>
        <v>0</v>
      </c>
      <c r="AI266" s="23">
        <f t="shared" si="72"/>
        <v>0</v>
      </c>
      <c r="AJ266" s="23">
        <f t="shared" si="72"/>
        <v>0</v>
      </c>
      <c r="AK266" s="23">
        <f t="shared" si="72"/>
        <v>0</v>
      </c>
      <c r="AL266" s="23">
        <f t="shared" si="72"/>
        <v>0</v>
      </c>
      <c r="AM266" s="23">
        <f t="shared" si="72"/>
        <v>0</v>
      </c>
      <c r="AN266" s="23">
        <f t="shared" si="72"/>
        <v>0</v>
      </c>
      <c r="AO266" s="23">
        <f t="shared" si="72"/>
        <v>0</v>
      </c>
      <c r="AP266" s="23">
        <f t="shared" si="72"/>
        <v>0</v>
      </c>
    </row>
    <row r="267" spans="1:42" x14ac:dyDescent="0.25">
      <c r="A267" t="s">
        <v>29</v>
      </c>
      <c r="B267" s="23">
        <f>(vega($E$9,B264,$E$11,$E$12,$E$13,$E$14-$A$40,$E$15*(1+$A$43)))*$E$5*$E$6*10000/$A$2</f>
        <v>0</v>
      </c>
      <c r="C267" s="23">
        <f t="shared" ref="C267:AP267" si="73">(vega($E$9,C264,$E$11,$E$12,$E$13,$E$14-$A$40,$E$15*(1+$A$43)))*$E$5*$E$6*10000/$A$2</f>
        <v>0</v>
      </c>
      <c r="D267" s="23">
        <f t="shared" si="73"/>
        <v>0</v>
      </c>
      <c r="E267" s="23">
        <f t="shared" si="73"/>
        <v>0</v>
      </c>
      <c r="F267" s="23">
        <f t="shared" si="73"/>
        <v>0</v>
      </c>
      <c r="G267" s="23">
        <f t="shared" si="73"/>
        <v>0</v>
      </c>
      <c r="H267" s="23">
        <f t="shared" si="73"/>
        <v>0</v>
      </c>
      <c r="I267" s="23">
        <f t="shared" si="73"/>
        <v>0</v>
      </c>
      <c r="J267" s="23">
        <f t="shared" si="73"/>
        <v>0</v>
      </c>
      <c r="K267" s="23">
        <f t="shared" si="73"/>
        <v>0</v>
      </c>
      <c r="L267" s="23">
        <f t="shared" si="73"/>
        <v>0</v>
      </c>
      <c r="M267" s="23">
        <f t="shared" si="73"/>
        <v>0</v>
      </c>
      <c r="N267" s="23">
        <f t="shared" si="73"/>
        <v>0</v>
      </c>
      <c r="O267" s="23">
        <f t="shared" si="73"/>
        <v>0</v>
      </c>
      <c r="P267" s="23">
        <f t="shared" si="73"/>
        <v>0</v>
      </c>
      <c r="Q267" s="23">
        <f t="shared" si="73"/>
        <v>0</v>
      </c>
      <c r="R267" s="23">
        <f t="shared" si="73"/>
        <v>0</v>
      </c>
      <c r="S267" s="23">
        <f t="shared" si="73"/>
        <v>0</v>
      </c>
      <c r="T267" s="23">
        <f t="shared" si="73"/>
        <v>0</v>
      </c>
      <c r="U267" s="23">
        <f t="shared" si="73"/>
        <v>0</v>
      </c>
      <c r="V267" s="23">
        <f t="shared" si="73"/>
        <v>0</v>
      </c>
      <c r="W267" s="23">
        <f t="shared" si="73"/>
        <v>0</v>
      </c>
      <c r="X267" s="23">
        <f t="shared" si="73"/>
        <v>0</v>
      </c>
      <c r="Y267" s="23">
        <f t="shared" si="73"/>
        <v>0</v>
      </c>
      <c r="Z267" s="23">
        <f t="shared" si="73"/>
        <v>0</v>
      </c>
      <c r="AA267" s="23">
        <f t="shared" si="73"/>
        <v>0</v>
      </c>
      <c r="AB267" s="23">
        <f t="shared" si="73"/>
        <v>0</v>
      </c>
      <c r="AC267" s="23">
        <f t="shared" si="73"/>
        <v>0</v>
      </c>
      <c r="AD267" s="23">
        <f t="shared" si="73"/>
        <v>0</v>
      </c>
      <c r="AE267" s="23">
        <f t="shared" si="73"/>
        <v>0</v>
      </c>
      <c r="AF267" s="23">
        <f t="shared" si="73"/>
        <v>0</v>
      </c>
      <c r="AG267" s="23">
        <f t="shared" si="73"/>
        <v>0</v>
      </c>
      <c r="AH267" s="23">
        <f t="shared" si="73"/>
        <v>0</v>
      </c>
      <c r="AI267" s="23">
        <f t="shared" si="73"/>
        <v>0</v>
      </c>
      <c r="AJ267" s="23">
        <f t="shared" si="73"/>
        <v>0</v>
      </c>
      <c r="AK267" s="23">
        <f t="shared" si="73"/>
        <v>0</v>
      </c>
      <c r="AL267" s="23">
        <f t="shared" si="73"/>
        <v>0</v>
      </c>
      <c r="AM267" s="23">
        <f t="shared" si="73"/>
        <v>0</v>
      </c>
      <c r="AN267" s="23">
        <f t="shared" si="73"/>
        <v>0</v>
      </c>
      <c r="AO267" s="23">
        <f t="shared" si="73"/>
        <v>0</v>
      </c>
      <c r="AP267" s="23">
        <f t="shared" si="73"/>
        <v>0</v>
      </c>
    </row>
    <row r="268" spans="1:42" x14ac:dyDescent="0.25">
      <c r="A268" t="s">
        <v>30</v>
      </c>
      <c r="B268" s="23">
        <f>(vega($F$9,B264,$F$11,$F$12,$F$13,$F$14-$A$40,$F$15*(1+$A$43)))*$F$5*$F$6*10000/$A$2</f>
        <v>0</v>
      </c>
      <c r="C268" s="23">
        <f t="shared" ref="C268:AP268" si="74">(vega($F$9,C264,$F$11,$F$12,$F$13,$F$14-$A$40,$F$15*(1+$A$43)))*$F$5*$F$6*10000/$A$2</f>
        <v>0</v>
      </c>
      <c r="D268" s="23">
        <f t="shared" si="74"/>
        <v>0</v>
      </c>
      <c r="E268" s="23">
        <f t="shared" si="74"/>
        <v>0</v>
      </c>
      <c r="F268" s="23">
        <f t="shared" si="74"/>
        <v>0</v>
      </c>
      <c r="G268" s="23">
        <f t="shared" si="74"/>
        <v>0</v>
      </c>
      <c r="H268" s="23">
        <f t="shared" si="74"/>
        <v>0</v>
      </c>
      <c r="I268" s="23">
        <f t="shared" si="74"/>
        <v>0</v>
      </c>
      <c r="J268" s="23">
        <f t="shared" si="74"/>
        <v>0</v>
      </c>
      <c r="K268" s="23">
        <f t="shared" si="74"/>
        <v>0</v>
      </c>
      <c r="L268" s="23">
        <f t="shared" si="74"/>
        <v>0</v>
      </c>
      <c r="M268" s="23">
        <f t="shared" si="74"/>
        <v>0</v>
      </c>
      <c r="N268" s="23">
        <f t="shared" si="74"/>
        <v>0</v>
      </c>
      <c r="O268" s="23">
        <f t="shared" si="74"/>
        <v>0</v>
      </c>
      <c r="P268" s="23">
        <f t="shared" si="74"/>
        <v>0</v>
      </c>
      <c r="Q268" s="23">
        <f t="shared" si="74"/>
        <v>0</v>
      </c>
      <c r="R268" s="23">
        <f t="shared" si="74"/>
        <v>0</v>
      </c>
      <c r="S268" s="23">
        <f t="shared" si="74"/>
        <v>0</v>
      </c>
      <c r="T268" s="23">
        <f t="shared" si="74"/>
        <v>0</v>
      </c>
      <c r="U268" s="23">
        <f t="shared" si="74"/>
        <v>0</v>
      </c>
      <c r="V268" s="23">
        <f t="shared" si="74"/>
        <v>0</v>
      </c>
      <c r="W268" s="23">
        <f t="shared" si="74"/>
        <v>0</v>
      </c>
      <c r="X268" s="23">
        <f t="shared" si="74"/>
        <v>0</v>
      </c>
      <c r="Y268" s="23">
        <f t="shared" si="74"/>
        <v>0</v>
      </c>
      <c r="Z268" s="23">
        <f t="shared" si="74"/>
        <v>0</v>
      </c>
      <c r="AA268" s="23">
        <f t="shared" si="74"/>
        <v>0</v>
      </c>
      <c r="AB268" s="23">
        <f t="shared" si="74"/>
        <v>0</v>
      </c>
      <c r="AC268" s="23">
        <f t="shared" si="74"/>
        <v>0</v>
      </c>
      <c r="AD268" s="23">
        <f t="shared" si="74"/>
        <v>0</v>
      </c>
      <c r="AE268" s="23">
        <f t="shared" si="74"/>
        <v>0</v>
      </c>
      <c r="AF268" s="23">
        <f t="shared" si="74"/>
        <v>0</v>
      </c>
      <c r="AG268" s="23">
        <f t="shared" si="74"/>
        <v>0</v>
      </c>
      <c r="AH268" s="23">
        <f t="shared" si="74"/>
        <v>0</v>
      </c>
      <c r="AI268" s="23">
        <f t="shared" si="74"/>
        <v>0</v>
      </c>
      <c r="AJ268" s="23">
        <f t="shared" si="74"/>
        <v>0</v>
      </c>
      <c r="AK268" s="23">
        <f t="shared" si="74"/>
        <v>0</v>
      </c>
      <c r="AL268" s="23">
        <f t="shared" si="74"/>
        <v>0</v>
      </c>
      <c r="AM268" s="23">
        <f t="shared" si="74"/>
        <v>0</v>
      </c>
      <c r="AN268" s="23">
        <f t="shared" si="74"/>
        <v>0</v>
      </c>
      <c r="AO268" s="23">
        <f t="shared" si="74"/>
        <v>0</v>
      </c>
      <c r="AP268" s="23">
        <f t="shared" si="74"/>
        <v>0</v>
      </c>
    </row>
    <row r="269" spans="1:42" x14ac:dyDescent="0.25">
      <c r="A269" t="s">
        <v>6</v>
      </c>
      <c r="B269" s="23">
        <v>0</v>
      </c>
      <c r="C269" s="23">
        <v>0</v>
      </c>
      <c r="D269" s="23">
        <v>0</v>
      </c>
      <c r="E269" s="23">
        <v>0</v>
      </c>
      <c r="F269" s="23">
        <v>0</v>
      </c>
      <c r="G269" s="23">
        <v>0</v>
      </c>
      <c r="H269" s="60">
        <v>0</v>
      </c>
      <c r="I269" s="60">
        <v>0</v>
      </c>
      <c r="J269" s="60">
        <v>0</v>
      </c>
      <c r="K269" s="60">
        <v>0</v>
      </c>
      <c r="L269" s="60">
        <v>0</v>
      </c>
      <c r="M269" s="60">
        <v>0</v>
      </c>
      <c r="N269" s="60">
        <v>0</v>
      </c>
      <c r="O269" s="60">
        <v>0</v>
      </c>
      <c r="P269" s="60">
        <v>0</v>
      </c>
      <c r="Q269" s="60">
        <v>0</v>
      </c>
      <c r="R269" s="60">
        <v>0</v>
      </c>
      <c r="S269" s="60">
        <v>0</v>
      </c>
      <c r="T269" s="60">
        <v>0</v>
      </c>
      <c r="U269" s="60">
        <v>0</v>
      </c>
      <c r="V269" s="60">
        <v>0</v>
      </c>
      <c r="W269" s="60">
        <v>0</v>
      </c>
      <c r="X269" s="60">
        <v>0</v>
      </c>
      <c r="Y269" s="60">
        <v>0</v>
      </c>
      <c r="Z269" s="60">
        <v>0</v>
      </c>
      <c r="AA269" s="60">
        <v>0</v>
      </c>
      <c r="AB269" s="60">
        <v>0</v>
      </c>
      <c r="AC269" s="60">
        <v>0</v>
      </c>
      <c r="AD269" s="60">
        <v>0</v>
      </c>
      <c r="AE269" s="60">
        <v>0</v>
      </c>
      <c r="AF269" s="60">
        <v>0</v>
      </c>
      <c r="AG269" s="60">
        <v>0</v>
      </c>
      <c r="AH269" s="60">
        <v>0</v>
      </c>
      <c r="AI269" s="60">
        <v>0</v>
      </c>
      <c r="AJ269" s="60">
        <v>0</v>
      </c>
      <c r="AK269" s="60">
        <v>0</v>
      </c>
      <c r="AL269" s="60">
        <v>0</v>
      </c>
      <c r="AM269" s="60">
        <v>0</v>
      </c>
      <c r="AN269" s="60">
        <v>0</v>
      </c>
      <c r="AO269" s="60">
        <v>0</v>
      </c>
      <c r="AP269" s="60">
        <v>0</v>
      </c>
    </row>
    <row r="270" spans="1:42" x14ac:dyDescent="0.25">
      <c r="A270" s="7" t="s">
        <v>41</v>
      </c>
      <c r="B270" s="24">
        <f t="shared" ref="B270:AP270" si="75">SUM(B265:B269)</f>
        <v>1.8016693012743928E-2</v>
      </c>
      <c r="C270" s="24">
        <f t="shared" si="75"/>
        <v>3.3406478746612019E-2</v>
      </c>
      <c r="D270" s="24">
        <f t="shared" si="75"/>
        <v>5.9732622750140164E-2</v>
      </c>
      <c r="E270" s="24">
        <f t="shared" si="75"/>
        <v>0.10305492030077724</v>
      </c>
      <c r="F270" s="24">
        <f t="shared" si="75"/>
        <v>0.17165173315371782</v>
      </c>
      <c r="G270" s="24">
        <f t="shared" si="75"/>
        <v>0.27617933865697397</v>
      </c>
      <c r="H270" s="62">
        <f t="shared" si="75"/>
        <v>0.42947136547863085</v>
      </c>
      <c r="I270" s="62">
        <f t="shared" si="75"/>
        <v>0.64581656425818557</v>
      </c>
      <c r="J270" s="62">
        <f t="shared" si="75"/>
        <v>0.93960106526783593</v>
      </c>
      <c r="K270" s="62">
        <f t="shared" si="75"/>
        <v>1.3233057761984242</v>
      </c>
      <c r="L270" s="62">
        <f t="shared" si="75"/>
        <v>1.8050035451128013</v>
      </c>
      <c r="M270" s="62">
        <f t="shared" si="75"/>
        <v>2.3856769493663732</v>
      </c>
      <c r="N270" s="62">
        <f t="shared" si="75"/>
        <v>3.0568310612543783</v>
      </c>
      <c r="O270" s="62">
        <f t="shared" si="75"/>
        <v>3.7989536257173673</v>
      </c>
      <c r="P270" s="62">
        <f t="shared" si="75"/>
        <v>4.5813337659777389</v>
      </c>
      <c r="Q270" s="62">
        <f t="shared" si="75"/>
        <v>5.3635717848205244</v>
      </c>
      <c r="R270" s="62">
        <f t="shared" si="75"/>
        <v>6.0988171749544922</v>
      </c>
      <c r="S270" s="62">
        <f t="shared" si="75"/>
        <v>6.7384186362986105</v>
      </c>
      <c r="T270" s="62">
        <f t="shared" si="75"/>
        <v>7.2373434694482501</v>
      </c>
      <c r="U270" s="62">
        <f t="shared" si="75"/>
        <v>7.5595110088241251</v>
      </c>
      <c r="V270" s="62">
        <f t="shared" si="75"/>
        <v>7.6821480338753805</v>
      </c>
      <c r="W270" s="62">
        <f t="shared" si="75"/>
        <v>7.5984306792342391</v>
      </c>
      <c r="X270" s="62">
        <f t="shared" si="75"/>
        <v>7.3179930722281217</v>
      </c>
      <c r="Y270" s="62">
        <f t="shared" si="75"/>
        <v>6.8652817737867622</v>
      </c>
      <c r="Z270" s="62">
        <f t="shared" si="75"/>
        <v>6.2761218549936997</v>
      </c>
      <c r="AA270" s="62">
        <f t="shared" si="75"/>
        <v>5.5931481004317485</v>
      </c>
      <c r="AB270" s="62">
        <f t="shared" si="75"/>
        <v>4.8608877820926644</v>
      </c>
      <c r="AC270" s="62">
        <f t="shared" si="75"/>
        <v>4.1212473448570393</v>
      </c>
      <c r="AD270" s="62">
        <f t="shared" si="75"/>
        <v>3.4099831766095443</v>
      </c>
      <c r="AE270" s="62">
        <f t="shared" si="75"/>
        <v>2.7544834201881612</v>
      </c>
      <c r="AF270" s="62">
        <f t="shared" si="75"/>
        <v>2.1729195951418636</v>
      </c>
      <c r="AG270" s="62">
        <f t="shared" si="75"/>
        <v>1.6746007108955296</v>
      </c>
      <c r="AH270" s="62">
        <f t="shared" si="75"/>
        <v>1.261214555092564</v>
      </c>
      <c r="AI270" s="62">
        <f t="shared" si="75"/>
        <v>0.9285818708067024</v>
      </c>
      <c r="AJ270" s="62">
        <f t="shared" si="75"/>
        <v>0.66856849665916007</v>
      </c>
      <c r="AK270" s="62">
        <f t="shared" si="75"/>
        <v>0.47087391432645098</v>
      </c>
      <c r="AL270" s="62">
        <f t="shared" si="75"/>
        <v>0.32451332232939822</v>
      </c>
      <c r="AM270" s="62">
        <f t="shared" si="75"/>
        <v>0.21890891167724946</v>
      </c>
      <c r="AN270" s="62">
        <f t="shared" si="75"/>
        <v>0.14458689372209074</v>
      </c>
      <c r="AO270" s="62">
        <f t="shared" si="75"/>
        <v>9.3531591203241629E-2</v>
      </c>
      <c r="AP270" s="62">
        <f t="shared" si="75"/>
        <v>5.9275985358369511E-2</v>
      </c>
    </row>
    <row r="273" spans="1:42" x14ac:dyDescent="0.25">
      <c r="A273" s="7" t="s">
        <v>45</v>
      </c>
      <c r="B273" s="18">
        <f>$A$37*-20</f>
        <v>-0.1</v>
      </c>
      <c r="C273" s="18">
        <f>$A$37*-19</f>
        <v>-9.5000000000000001E-2</v>
      </c>
      <c r="D273" s="18">
        <f>$A$37*-18</f>
        <v>-0.09</v>
      </c>
      <c r="E273" s="18">
        <f>$A$37*-17</f>
        <v>-8.5000000000000006E-2</v>
      </c>
      <c r="F273" s="18">
        <f>$A$37*-16</f>
        <v>-0.08</v>
      </c>
      <c r="G273" s="18">
        <f>$A$37*-15</f>
        <v>-7.4999999999999997E-2</v>
      </c>
      <c r="H273" s="57">
        <f>$A$37*-14</f>
        <v>-7.0000000000000007E-2</v>
      </c>
      <c r="I273" s="57">
        <f>$A$37*-13</f>
        <v>-6.5000000000000002E-2</v>
      </c>
      <c r="J273" s="57">
        <f>$A$37*-12</f>
        <v>-0.06</v>
      </c>
      <c r="K273" s="57">
        <f>$A$37*-11</f>
        <v>-5.5E-2</v>
      </c>
      <c r="L273" s="57">
        <f>$A$37*-10</f>
        <v>-0.05</v>
      </c>
      <c r="M273" s="57">
        <f>$A$37*-9</f>
        <v>-4.4999999999999998E-2</v>
      </c>
      <c r="N273" s="57">
        <f>$A$37*-8</f>
        <v>-0.04</v>
      </c>
      <c r="O273" s="57">
        <f>$A$37*-7</f>
        <v>-3.5000000000000003E-2</v>
      </c>
      <c r="P273" s="57">
        <f>$A$37*-6</f>
        <v>-0.03</v>
      </c>
      <c r="Q273" s="57">
        <f>$A$37*-5</f>
        <v>-2.5000000000000001E-2</v>
      </c>
      <c r="R273" s="57">
        <f>$A$37*-4</f>
        <v>-0.02</v>
      </c>
      <c r="S273" s="57">
        <f>$A$37*-3</f>
        <v>-1.4999999999999999E-2</v>
      </c>
      <c r="T273" s="57">
        <f>$A$37*-2</f>
        <v>-0.01</v>
      </c>
      <c r="U273" s="57">
        <f>$A$37*-1</f>
        <v>-5.0000000000000001E-3</v>
      </c>
      <c r="V273" s="58">
        <v>0</v>
      </c>
      <c r="W273" s="59">
        <f>$A$37*1</f>
        <v>5.0000000000000001E-3</v>
      </c>
      <c r="X273" s="59">
        <f>$A$37*2</f>
        <v>0.01</v>
      </c>
      <c r="Y273" s="59">
        <f>$A$37*3</f>
        <v>1.4999999999999999E-2</v>
      </c>
      <c r="Z273" s="59">
        <f>$A$37*4</f>
        <v>0.02</v>
      </c>
      <c r="AA273" s="59">
        <f>$A$37*5</f>
        <v>2.5000000000000001E-2</v>
      </c>
      <c r="AB273" s="59">
        <f>$A$37*6</f>
        <v>0.03</v>
      </c>
      <c r="AC273" s="59">
        <f>$A$37*7</f>
        <v>3.5000000000000003E-2</v>
      </c>
      <c r="AD273" s="59">
        <f>$A$37*8</f>
        <v>0.04</v>
      </c>
      <c r="AE273" s="59">
        <f>$A$37*9</f>
        <v>4.4999999999999998E-2</v>
      </c>
      <c r="AF273" s="59">
        <f>$A$37*10</f>
        <v>0.05</v>
      </c>
      <c r="AG273" s="59">
        <f>$A$37*11</f>
        <v>5.5E-2</v>
      </c>
      <c r="AH273" s="59">
        <f>$A$37*12</f>
        <v>0.06</v>
      </c>
      <c r="AI273" s="59">
        <f>$A$37*13</f>
        <v>6.5000000000000002E-2</v>
      </c>
      <c r="AJ273" s="59">
        <f>$A$37*14</f>
        <v>7.0000000000000007E-2</v>
      </c>
      <c r="AK273" s="59">
        <f>$A$37*15</f>
        <v>7.4999999999999997E-2</v>
      </c>
      <c r="AL273" s="59">
        <f>$A$37*16</f>
        <v>0.08</v>
      </c>
      <c r="AM273" s="59">
        <f>$A$37*17</f>
        <v>8.5000000000000006E-2</v>
      </c>
      <c r="AN273" s="59">
        <f>$A$37*18</f>
        <v>0.09</v>
      </c>
      <c r="AO273" s="59">
        <f>$A$37*19</f>
        <v>9.5000000000000001E-2</v>
      </c>
      <c r="AP273" s="59">
        <f>$A$37*20</f>
        <v>0.1</v>
      </c>
    </row>
    <row r="274" spans="1:42" x14ac:dyDescent="0.25">
      <c r="B274" s="19">
        <f t="shared" ref="B274:U274" si="76">$V$206*(1+B273)</f>
        <v>1710</v>
      </c>
      <c r="C274" s="19">
        <f t="shared" si="76"/>
        <v>1719.5</v>
      </c>
      <c r="D274" s="19">
        <f t="shared" si="76"/>
        <v>1729</v>
      </c>
      <c r="E274" s="19">
        <f t="shared" si="76"/>
        <v>1738.5</v>
      </c>
      <c r="F274" s="19">
        <f t="shared" si="76"/>
        <v>1748</v>
      </c>
      <c r="G274" s="19">
        <f t="shared" si="76"/>
        <v>1757.5</v>
      </c>
      <c r="H274" s="60">
        <f t="shared" si="76"/>
        <v>1766.9999999999998</v>
      </c>
      <c r="I274" s="60">
        <f t="shared" si="76"/>
        <v>1776.5</v>
      </c>
      <c r="J274" s="60">
        <f t="shared" si="76"/>
        <v>1786</v>
      </c>
      <c r="K274" s="60">
        <f t="shared" si="76"/>
        <v>1795.5</v>
      </c>
      <c r="L274" s="60">
        <f t="shared" si="76"/>
        <v>1805</v>
      </c>
      <c r="M274" s="60">
        <f t="shared" si="76"/>
        <v>1814.5</v>
      </c>
      <c r="N274" s="60">
        <f t="shared" si="76"/>
        <v>1824</v>
      </c>
      <c r="O274" s="60">
        <f t="shared" si="76"/>
        <v>1833.5</v>
      </c>
      <c r="P274" s="60">
        <f t="shared" si="76"/>
        <v>1843</v>
      </c>
      <c r="Q274" s="60">
        <f t="shared" si="76"/>
        <v>1852.5</v>
      </c>
      <c r="R274" s="60">
        <f t="shared" si="76"/>
        <v>1862</v>
      </c>
      <c r="S274" s="60">
        <f t="shared" si="76"/>
        <v>1871.5</v>
      </c>
      <c r="T274" s="60">
        <f t="shared" si="76"/>
        <v>1881</v>
      </c>
      <c r="U274" s="60">
        <f t="shared" si="76"/>
        <v>1890.5</v>
      </c>
      <c r="V274" s="32">
        <f>$C$10</f>
        <v>1900</v>
      </c>
      <c r="W274" s="60">
        <f t="shared" ref="W274:AP274" si="77">$V$206*(1+W273)</f>
        <v>1909.4999999999998</v>
      </c>
      <c r="X274" s="60">
        <f t="shared" si="77"/>
        <v>1919</v>
      </c>
      <c r="Y274" s="60">
        <f t="shared" si="77"/>
        <v>1928.4999999999998</v>
      </c>
      <c r="Z274" s="60">
        <f t="shared" si="77"/>
        <v>1938</v>
      </c>
      <c r="AA274" s="60">
        <f t="shared" si="77"/>
        <v>1947.4999999999998</v>
      </c>
      <c r="AB274" s="60">
        <f t="shared" si="77"/>
        <v>1957</v>
      </c>
      <c r="AC274" s="60">
        <f t="shared" si="77"/>
        <v>1966.4999999999998</v>
      </c>
      <c r="AD274" s="60">
        <f t="shared" si="77"/>
        <v>1976</v>
      </c>
      <c r="AE274" s="60">
        <f t="shared" si="77"/>
        <v>1985.4999999999998</v>
      </c>
      <c r="AF274" s="60">
        <f t="shared" si="77"/>
        <v>1995</v>
      </c>
      <c r="AG274" s="60">
        <f t="shared" si="77"/>
        <v>2004.4999999999998</v>
      </c>
      <c r="AH274" s="60">
        <f t="shared" si="77"/>
        <v>2014</v>
      </c>
      <c r="AI274" s="60">
        <f t="shared" si="77"/>
        <v>2023.5</v>
      </c>
      <c r="AJ274" s="60">
        <f t="shared" si="77"/>
        <v>2033.0000000000002</v>
      </c>
      <c r="AK274" s="60">
        <f t="shared" si="77"/>
        <v>2042.5</v>
      </c>
      <c r="AL274" s="60">
        <f t="shared" si="77"/>
        <v>2052</v>
      </c>
      <c r="AM274" s="60">
        <f t="shared" si="77"/>
        <v>2061.5</v>
      </c>
      <c r="AN274" s="60">
        <f t="shared" si="77"/>
        <v>2071</v>
      </c>
      <c r="AO274" s="60">
        <f t="shared" si="77"/>
        <v>2080.5</v>
      </c>
      <c r="AP274" s="60">
        <f t="shared" si="77"/>
        <v>2090</v>
      </c>
    </row>
    <row r="275" spans="1:42" x14ac:dyDescent="0.25">
      <c r="A275" t="s">
        <v>27</v>
      </c>
      <c r="B275" s="31">
        <f>(gammaG($C$9,B274,$C$11,$C$12,$C$13,$C$14,$C$15))*$C$5*$C$6*$C$10^2/100/$A$2</f>
        <v>5.1309718909152598E-3</v>
      </c>
      <c r="C275" s="31">
        <f t="shared" ref="C275:AP275" si="78">(gammaG($C$9,C274,$C$11,$C$12,$C$13,$C$14,$C$15))*$C$5*$C$6*$C$10^2/100/$A$2</f>
        <v>6.9193743033178837E-3</v>
      </c>
      <c r="D275" s="31">
        <f t="shared" si="78"/>
        <v>9.1636784849927679E-3</v>
      </c>
      <c r="E275" s="31">
        <f t="shared" si="78"/>
        <v>1.1921583333913488E-2</v>
      </c>
      <c r="F275" s="31">
        <f t="shared" si="78"/>
        <v>1.523989189107192E-2</v>
      </c>
      <c r="G275" s="31">
        <f t="shared" si="78"/>
        <v>1.9148468646444771E-2</v>
      </c>
      <c r="H275" s="31">
        <f t="shared" si="78"/>
        <v>2.365420924202925E-2</v>
      </c>
      <c r="I275" s="31">
        <f t="shared" si="78"/>
        <v>2.8735632349265881E-2</v>
      </c>
      <c r="J275" s="31">
        <f t="shared" si="78"/>
        <v>3.4338750963377573E-2</v>
      </c>
      <c r="K275" s="31">
        <f t="shared" si="78"/>
        <v>4.037485046482598E-2</v>
      </c>
      <c r="L275" s="31">
        <f t="shared" si="78"/>
        <v>4.6720685689137488E-2</v>
      </c>
      <c r="M275" s="31">
        <f t="shared" si="78"/>
        <v>5.3221413480747291E-2</v>
      </c>
      <c r="N275" s="31">
        <f t="shared" si="78"/>
        <v>5.9696318481692184E-2</v>
      </c>
      <c r="O275" s="31">
        <f t="shared" si="78"/>
        <v>6.5947097418037129E-2</v>
      </c>
      <c r="P275" s="31">
        <f t="shared" si="78"/>
        <v>7.1768177714198716E-2</v>
      </c>
      <c r="Q275" s="31">
        <f t="shared" si="78"/>
        <v>7.69582988145949E-2</v>
      </c>
      <c r="R275" s="31">
        <f t="shared" si="78"/>
        <v>8.1332413977344878E-2</v>
      </c>
      <c r="S275" s="31">
        <f t="shared" si="78"/>
        <v>8.4732901602278352E-2</v>
      </c>
      <c r="T275" s="31">
        <f t="shared" si="78"/>
        <v>8.7039119507457047E-2</v>
      </c>
      <c r="U275" s="31">
        <f t="shared" si="78"/>
        <v>8.8174488349729685E-2</v>
      </c>
      <c r="V275" s="31">
        <f t="shared" si="78"/>
        <v>8.8110532008523659E-2</v>
      </c>
      <c r="W275" s="31">
        <f t="shared" si="78"/>
        <v>8.6867601914141099E-2</v>
      </c>
      <c r="X275" s="31">
        <f t="shared" si="78"/>
        <v>8.4512331011762101E-2</v>
      </c>
      <c r="Y275" s="31">
        <f t="shared" si="78"/>
        <v>8.1152162492622387E-2</v>
      </c>
      <c r="Z275" s="31">
        <f t="shared" si="78"/>
        <v>7.6927544587329574E-2</v>
      </c>
      <c r="AA275" s="31">
        <f t="shared" si="78"/>
        <v>7.2002550888557892E-2</v>
      </c>
      <c r="AB275" s="31">
        <f t="shared" si="78"/>
        <v>6.6554763110006548E-2</v>
      </c>
      <c r="AC275" s="31">
        <f t="shared" si="78"/>
        <v>6.0765239741347989E-2</v>
      </c>
      <c r="AD275" s="31">
        <f t="shared" si="78"/>
        <v>5.4809300830280898E-2</v>
      </c>
      <c r="AE275" s="31">
        <f t="shared" si="78"/>
        <v>4.8848705652570698E-2</v>
      </c>
      <c r="AF275" s="31">
        <f t="shared" si="78"/>
        <v>4.3025610610629796E-2</v>
      </c>
      <c r="AG275" s="31">
        <f t="shared" si="78"/>
        <v>3.7458494527637991E-2</v>
      </c>
      <c r="AH275" s="31">
        <f t="shared" si="78"/>
        <v>3.2240050283892388E-2</v>
      </c>
      <c r="AI275" s="31">
        <f t="shared" si="78"/>
        <v>2.7436883188559587E-2</v>
      </c>
      <c r="AJ275" s="31">
        <f t="shared" si="78"/>
        <v>2.3090738925295427E-2</v>
      </c>
      <c r="AK275" s="31">
        <f t="shared" si="78"/>
        <v>1.9220912034930728E-2</v>
      </c>
      <c r="AL275" s="31">
        <f t="shared" si="78"/>
        <v>1.5827458406804606E-2</v>
      </c>
      <c r="AM275" s="31">
        <f t="shared" si="78"/>
        <v>1.2894846205619927E-2</v>
      </c>
      <c r="AN275" s="31">
        <f t="shared" si="78"/>
        <v>1.0395720152997064E-2</v>
      </c>
      <c r="AO275" s="31">
        <f t="shared" si="78"/>
        <v>8.2945139235829097E-3</v>
      </c>
      <c r="AP275" s="31">
        <f t="shared" si="78"/>
        <v>6.5507146161204568E-3</v>
      </c>
    </row>
    <row r="276" spans="1:42" x14ac:dyDescent="0.25">
      <c r="A276" t="s">
        <v>28</v>
      </c>
      <c r="B276" s="103">
        <f>(gammaG($D$9,B274,$D$11,$D$12,$D$13,$D$14,$D$15))*$D$5*$D$6*$C$10^2/100/$A$2</f>
        <v>0</v>
      </c>
      <c r="C276" s="103">
        <f t="shared" ref="C276:AP276" si="79">(gammaG($D$9,C274,$D$11,$D$12,$D$13,$D$14,$D$15))*$D$5*$D$6*$C$10^2/100/$A$2</f>
        <v>0</v>
      </c>
      <c r="D276" s="103">
        <f t="shared" si="79"/>
        <v>0</v>
      </c>
      <c r="E276" s="103">
        <f t="shared" si="79"/>
        <v>0</v>
      </c>
      <c r="F276" s="103">
        <f t="shared" si="79"/>
        <v>0</v>
      </c>
      <c r="G276" s="103">
        <f t="shared" si="79"/>
        <v>0</v>
      </c>
      <c r="H276" s="103">
        <f t="shared" si="79"/>
        <v>0</v>
      </c>
      <c r="I276" s="103">
        <f t="shared" si="79"/>
        <v>0</v>
      </c>
      <c r="J276" s="103">
        <f t="shared" si="79"/>
        <v>0</v>
      </c>
      <c r="K276" s="103">
        <f t="shared" si="79"/>
        <v>0</v>
      </c>
      <c r="L276" s="103">
        <f t="shared" si="79"/>
        <v>0</v>
      </c>
      <c r="M276" s="103">
        <f t="shared" si="79"/>
        <v>0</v>
      </c>
      <c r="N276" s="103">
        <f t="shared" si="79"/>
        <v>0</v>
      </c>
      <c r="O276" s="103">
        <f t="shared" si="79"/>
        <v>0</v>
      </c>
      <c r="P276" s="103">
        <f t="shared" si="79"/>
        <v>0</v>
      </c>
      <c r="Q276" s="103">
        <f t="shared" si="79"/>
        <v>0</v>
      </c>
      <c r="R276" s="103">
        <f t="shared" si="79"/>
        <v>0</v>
      </c>
      <c r="S276" s="103">
        <f t="shared" si="79"/>
        <v>0</v>
      </c>
      <c r="T276" s="103">
        <f t="shared" si="79"/>
        <v>0</v>
      </c>
      <c r="U276" s="103">
        <f t="shared" si="79"/>
        <v>0</v>
      </c>
      <c r="V276" s="103">
        <f t="shared" si="79"/>
        <v>0</v>
      </c>
      <c r="W276" s="103">
        <f t="shared" si="79"/>
        <v>0</v>
      </c>
      <c r="X276" s="103">
        <f t="shared" si="79"/>
        <v>0</v>
      </c>
      <c r="Y276" s="103">
        <f t="shared" si="79"/>
        <v>0</v>
      </c>
      <c r="Z276" s="103">
        <f t="shared" si="79"/>
        <v>0</v>
      </c>
      <c r="AA276" s="103">
        <f t="shared" si="79"/>
        <v>0</v>
      </c>
      <c r="AB276" s="103">
        <f t="shared" si="79"/>
        <v>0</v>
      </c>
      <c r="AC276" s="103">
        <f t="shared" si="79"/>
        <v>0</v>
      </c>
      <c r="AD276" s="103">
        <f t="shared" si="79"/>
        <v>0</v>
      </c>
      <c r="AE276" s="103">
        <f t="shared" si="79"/>
        <v>0</v>
      </c>
      <c r="AF276" s="103">
        <f t="shared" si="79"/>
        <v>0</v>
      </c>
      <c r="AG276" s="103">
        <f t="shared" si="79"/>
        <v>0</v>
      </c>
      <c r="AH276" s="103">
        <f t="shared" si="79"/>
        <v>0</v>
      </c>
      <c r="AI276" s="103">
        <f t="shared" si="79"/>
        <v>0</v>
      </c>
      <c r="AJ276" s="103">
        <f t="shared" si="79"/>
        <v>0</v>
      </c>
      <c r="AK276" s="103">
        <f t="shared" si="79"/>
        <v>0</v>
      </c>
      <c r="AL276" s="103">
        <f t="shared" si="79"/>
        <v>0</v>
      </c>
      <c r="AM276" s="103">
        <f t="shared" si="79"/>
        <v>0</v>
      </c>
      <c r="AN276" s="103">
        <f t="shared" si="79"/>
        <v>0</v>
      </c>
      <c r="AO276" s="103">
        <f t="shared" si="79"/>
        <v>0</v>
      </c>
      <c r="AP276" s="103">
        <f t="shared" si="79"/>
        <v>0</v>
      </c>
    </row>
    <row r="277" spans="1:42" x14ac:dyDescent="0.25">
      <c r="A277" t="s">
        <v>29</v>
      </c>
      <c r="B277" s="103">
        <f>(gammaG($E$9,B274,$E$11,$E$12,$E$13,$E$14,$E$15))*$E$5*$E$6*$C$10^2/100/$A$2</f>
        <v>0</v>
      </c>
      <c r="C277" s="103">
        <f t="shared" ref="C277:AP277" si="80">(gammaG($E$9,C274,$E$11,$E$12,$E$13,$E$14,$E$15))*$E$5*$E$6*$C$10^2/100/$A$2</f>
        <v>0</v>
      </c>
      <c r="D277" s="103">
        <f t="shared" si="80"/>
        <v>0</v>
      </c>
      <c r="E277" s="103">
        <f t="shared" si="80"/>
        <v>0</v>
      </c>
      <c r="F277" s="103">
        <f t="shared" si="80"/>
        <v>0</v>
      </c>
      <c r="G277" s="103">
        <f t="shared" si="80"/>
        <v>0</v>
      </c>
      <c r="H277" s="103">
        <f t="shared" si="80"/>
        <v>0</v>
      </c>
      <c r="I277" s="103">
        <f t="shared" si="80"/>
        <v>0</v>
      </c>
      <c r="J277" s="103">
        <f t="shared" si="80"/>
        <v>0</v>
      </c>
      <c r="K277" s="103">
        <f t="shared" si="80"/>
        <v>0</v>
      </c>
      <c r="L277" s="103">
        <f t="shared" si="80"/>
        <v>0</v>
      </c>
      <c r="M277" s="103">
        <f t="shared" si="80"/>
        <v>0</v>
      </c>
      <c r="N277" s="103">
        <f t="shared" si="80"/>
        <v>0</v>
      </c>
      <c r="O277" s="103">
        <f t="shared" si="80"/>
        <v>0</v>
      </c>
      <c r="P277" s="103">
        <f t="shared" si="80"/>
        <v>0</v>
      </c>
      <c r="Q277" s="103">
        <f t="shared" si="80"/>
        <v>0</v>
      </c>
      <c r="R277" s="103">
        <f t="shared" si="80"/>
        <v>0</v>
      </c>
      <c r="S277" s="103">
        <f t="shared" si="80"/>
        <v>0</v>
      </c>
      <c r="T277" s="103">
        <f t="shared" si="80"/>
        <v>0</v>
      </c>
      <c r="U277" s="103">
        <f t="shared" si="80"/>
        <v>0</v>
      </c>
      <c r="V277" s="103">
        <f t="shared" si="80"/>
        <v>0</v>
      </c>
      <c r="W277" s="103">
        <f t="shared" si="80"/>
        <v>0</v>
      </c>
      <c r="X277" s="103">
        <f t="shared" si="80"/>
        <v>0</v>
      </c>
      <c r="Y277" s="103">
        <f t="shared" si="80"/>
        <v>0</v>
      </c>
      <c r="Z277" s="103">
        <f t="shared" si="80"/>
        <v>0</v>
      </c>
      <c r="AA277" s="103">
        <f t="shared" si="80"/>
        <v>0</v>
      </c>
      <c r="AB277" s="103">
        <f t="shared" si="80"/>
        <v>0</v>
      </c>
      <c r="AC277" s="103">
        <f t="shared" si="80"/>
        <v>0</v>
      </c>
      <c r="AD277" s="103">
        <f t="shared" si="80"/>
        <v>0</v>
      </c>
      <c r="AE277" s="103">
        <f t="shared" si="80"/>
        <v>0</v>
      </c>
      <c r="AF277" s="103">
        <f t="shared" si="80"/>
        <v>0</v>
      </c>
      <c r="AG277" s="103">
        <f t="shared" si="80"/>
        <v>0</v>
      </c>
      <c r="AH277" s="103">
        <f t="shared" si="80"/>
        <v>0</v>
      </c>
      <c r="AI277" s="103">
        <f t="shared" si="80"/>
        <v>0</v>
      </c>
      <c r="AJ277" s="103">
        <f t="shared" si="80"/>
        <v>0</v>
      </c>
      <c r="AK277" s="103">
        <f t="shared" si="80"/>
        <v>0</v>
      </c>
      <c r="AL277" s="103">
        <f t="shared" si="80"/>
        <v>0</v>
      </c>
      <c r="AM277" s="103">
        <f t="shared" si="80"/>
        <v>0</v>
      </c>
      <c r="AN277" s="103">
        <f t="shared" si="80"/>
        <v>0</v>
      </c>
      <c r="AO277" s="103">
        <f t="shared" si="80"/>
        <v>0</v>
      </c>
      <c r="AP277" s="103">
        <f t="shared" si="80"/>
        <v>0</v>
      </c>
    </row>
    <row r="278" spans="1:42" x14ac:dyDescent="0.25">
      <c r="A278" t="s">
        <v>30</v>
      </c>
      <c r="B278" s="103">
        <f>(gammaG($F$9,B274,$F$11,$F$12,$F$13,$F$14,$F$15))*$F$5*$F$6*$C$10^2/100/$A$2</f>
        <v>0</v>
      </c>
      <c r="C278" s="103">
        <f t="shared" ref="C278:AP278" si="81">(gammaG($F$9,C274,$F$11,$F$12,$F$13,$F$14,$F$15))*$F$5*$F$6*$C$10^2/100/$A$2</f>
        <v>0</v>
      </c>
      <c r="D278" s="103">
        <f t="shared" si="81"/>
        <v>0</v>
      </c>
      <c r="E278" s="103">
        <f t="shared" si="81"/>
        <v>0</v>
      </c>
      <c r="F278" s="103">
        <f t="shared" si="81"/>
        <v>0</v>
      </c>
      <c r="G278" s="103">
        <f t="shared" si="81"/>
        <v>0</v>
      </c>
      <c r="H278" s="103">
        <f t="shared" si="81"/>
        <v>0</v>
      </c>
      <c r="I278" s="103">
        <f t="shared" si="81"/>
        <v>0</v>
      </c>
      <c r="J278" s="103">
        <f t="shared" si="81"/>
        <v>0</v>
      </c>
      <c r="K278" s="103">
        <f t="shared" si="81"/>
        <v>0</v>
      </c>
      <c r="L278" s="103">
        <f t="shared" si="81"/>
        <v>0</v>
      </c>
      <c r="M278" s="103">
        <f t="shared" si="81"/>
        <v>0</v>
      </c>
      <c r="N278" s="103">
        <f t="shared" si="81"/>
        <v>0</v>
      </c>
      <c r="O278" s="103">
        <f t="shared" si="81"/>
        <v>0</v>
      </c>
      <c r="P278" s="103">
        <f t="shared" si="81"/>
        <v>0</v>
      </c>
      <c r="Q278" s="103">
        <f t="shared" si="81"/>
        <v>0</v>
      </c>
      <c r="R278" s="103">
        <f t="shared" si="81"/>
        <v>0</v>
      </c>
      <c r="S278" s="103">
        <f t="shared" si="81"/>
        <v>0</v>
      </c>
      <c r="T278" s="103">
        <f t="shared" si="81"/>
        <v>0</v>
      </c>
      <c r="U278" s="103">
        <f t="shared" si="81"/>
        <v>0</v>
      </c>
      <c r="V278" s="103">
        <f t="shared" si="81"/>
        <v>0</v>
      </c>
      <c r="W278" s="103">
        <f t="shared" si="81"/>
        <v>0</v>
      </c>
      <c r="X278" s="103">
        <f t="shared" si="81"/>
        <v>0</v>
      </c>
      <c r="Y278" s="103">
        <f t="shared" si="81"/>
        <v>0</v>
      </c>
      <c r="Z278" s="103">
        <f t="shared" si="81"/>
        <v>0</v>
      </c>
      <c r="AA278" s="103">
        <f t="shared" si="81"/>
        <v>0</v>
      </c>
      <c r="AB278" s="103">
        <f t="shared" si="81"/>
        <v>0</v>
      </c>
      <c r="AC278" s="103">
        <f t="shared" si="81"/>
        <v>0</v>
      </c>
      <c r="AD278" s="103">
        <f t="shared" si="81"/>
        <v>0</v>
      </c>
      <c r="AE278" s="103">
        <f t="shared" si="81"/>
        <v>0</v>
      </c>
      <c r="AF278" s="103">
        <f t="shared" si="81"/>
        <v>0</v>
      </c>
      <c r="AG278" s="103">
        <f t="shared" si="81"/>
        <v>0</v>
      </c>
      <c r="AH278" s="103">
        <f t="shared" si="81"/>
        <v>0</v>
      </c>
      <c r="AI278" s="103">
        <f t="shared" si="81"/>
        <v>0</v>
      </c>
      <c r="AJ278" s="103">
        <f t="shared" si="81"/>
        <v>0</v>
      </c>
      <c r="AK278" s="103">
        <f t="shared" si="81"/>
        <v>0</v>
      </c>
      <c r="AL278" s="103">
        <f t="shared" si="81"/>
        <v>0</v>
      </c>
      <c r="AM278" s="103">
        <f t="shared" si="81"/>
        <v>0</v>
      </c>
      <c r="AN278" s="103">
        <f t="shared" si="81"/>
        <v>0</v>
      </c>
      <c r="AO278" s="103">
        <f t="shared" si="81"/>
        <v>0</v>
      </c>
      <c r="AP278" s="103">
        <f t="shared" si="81"/>
        <v>0</v>
      </c>
    </row>
    <row r="279" spans="1:42" x14ac:dyDescent="0.25">
      <c r="A279" t="s">
        <v>6</v>
      </c>
      <c r="B279" s="103">
        <v>0</v>
      </c>
      <c r="C279" s="103">
        <v>0</v>
      </c>
      <c r="D279" s="103">
        <v>0</v>
      </c>
      <c r="E279" s="103">
        <v>0</v>
      </c>
      <c r="F279" s="103">
        <v>0</v>
      </c>
      <c r="G279" s="103">
        <v>0</v>
      </c>
      <c r="H279" s="103">
        <v>0</v>
      </c>
      <c r="I279" s="103">
        <v>0</v>
      </c>
      <c r="J279" s="103">
        <v>0</v>
      </c>
      <c r="K279" s="103">
        <v>0</v>
      </c>
      <c r="L279" s="103">
        <v>0</v>
      </c>
      <c r="M279" s="103">
        <v>0</v>
      </c>
      <c r="N279" s="103">
        <v>0</v>
      </c>
      <c r="O279" s="103">
        <v>0</v>
      </c>
      <c r="P279" s="103">
        <v>0</v>
      </c>
      <c r="Q279" s="103">
        <v>0</v>
      </c>
      <c r="R279" s="103">
        <v>0</v>
      </c>
      <c r="S279" s="103">
        <v>0</v>
      </c>
      <c r="T279" s="103">
        <v>0</v>
      </c>
      <c r="U279" s="103">
        <v>0</v>
      </c>
      <c r="V279" s="103">
        <v>0</v>
      </c>
      <c r="W279" s="103">
        <v>0</v>
      </c>
      <c r="X279" s="103">
        <v>0</v>
      </c>
      <c r="Y279" s="103">
        <v>0</v>
      </c>
      <c r="Z279" s="103">
        <v>0</v>
      </c>
      <c r="AA279" s="103">
        <v>0</v>
      </c>
      <c r="AB279" s="103">
        <v>0</v>
      </c>
      <c r="AC279" s="103">
        <v>0</v>
      </c>
      <c r="AD279" s="103">
        <v>0</v>
      </c>
      <c r="AE279" s="103">
        <v>0</v>
      </c>
      <c r="AF279" s="103">
        <v>0</v>
      </c>
      <c r="AG279" s="103">
        <v>0</v>
      </c>
      <c r="AH279" s="103">
        <v>0</v>
      </c>
      <c r="AI279" s="103">
        <v>0</v>
      </c>
      <c r="AJ279" s="103">
        <v>0</v>
      </c>
      <c r="AK279" s="103">
        <v>0</v>
      </c>
      <c r="AL279" s="103">
        <v>0</v>
      </c>
      <c r="AM279" s="103">
        <v>0</v>
      </c>
      <c r="AN279" s="103">
        <v>0</v>
      </c>
      <c r="AO279" s="103">
        <v>0</v>
      </c>
      <c r="AP279" s="103">
        <v>0</v>
      </c>
    </row>
    <row r="280" spans="1:42" x14ac:dyDescent="0.25">
      <c r="A280" s="7" t="s">
        <v>46</v>
      </c>
      <c r="B280" s="21">
        <f>SUM(B275:B279)</f>
        <v>5.1309718909152598E-3</v>
      </c>
      <c r="C280" s="21">
        <f t="shared" ref="C280:V280" si="82">SUM(C275:C279)</f>
        <v>6.9193743033178837E-3</v>
      </c>
      <c r="D280" s="21">
        <f t="shared" si="82"/>
        <v>9.1636784849927679E-3</v>
      </c>
      <c r="E280" s="21">
        <f t="shared" si="82"/>
        <v>1.1921583333913488E-2</v>
      </c>
      <c r="F280" s="21">
        <f t="shared" si="82"/>
        <v>1.523989189107192E-2</v>
      </c>
      <c r="G280" s="21">
        <f t="shared" si="82"/>
        <v>1.9148468646444771E-2</v>
      </c>
      <c r="H280" s="61">
        <f t="shared" si="82"/>
        <v>2.365420924202925E-2</v>
      </c>
      <c r="I280" s="61">
        <f t="shared" si="82"/>
        <v>2.8735632349265881E-2</v>
      </c>
      <c r="J280" s="61">
        <f t="shared" si="82"/>
        <v>3.4338750963377573E-2</v>
      </c>
      <c r="K280" s="61">
        <f t="shared" si="82"/>
        <v>4.037485046482598E-2</v>
      </c>
      <c r="L280" s="61">
        <f t="shared" si="82"/>
        <v>4.6720685689137488E-2</v>
      </c>
      <c r="M280" s="61">
        <f t="shared" si="82"/>
        <v>5.3221413480747291E-2</v>
      </c>
      <c r="N280" s="61">
        <f t="shared" si="82"/>
        <v>5.9696318481692184E-2</v>
      </c>
      <c r="O280" s="61">
        <f t="shared" si="82"/>
        <v>6.5947097418037129E-2</v>
      </c>
      <c r="P280" s="61">
        <f t="shared" si="82"/>
        <v>7.1768177714198716E-2</v>
      </c>
      <c r="Q280" s="61">
        <f t="shared" si="82"/>
        <v>7.69582988145949E-2</v>
      </c>
      <c r="R280" s="61">
        <f t="shared" si="82"/>
        <v>8.1332413977344878E-2</v>
      </c>
      <c r="S280" s="61">
        <f t="shared" si="82"/>
        <v>8.4732901602278352E-2</v>
      </c>
      <c r="T280" s="61">
        <f t="shared" si="82"/>
        <v>8.7039119507457047E-2</v>
      </c>
      <c r="U280" s="61">
        <f t="shared" si="82"/>
        <v>8.8174488349729685E-2</v>
      </c>
      <c r="V280" s="61">
        <f t="shared" si="82"/>
        <v>8.8110532008523659E-2</v>
      </c>
      <c r="W280" s="61">
        <f t="shared" ref="W280:AP280" si="83">SUM(W275:W279)</f>
        <v>8.6867601914141099E-2</v>
      </c>
      <c r="X280" s="61">
        <f t="shared" si="83"/>
        <v>8.4512331011762101E-2</v>
      </c>
      <c r="Y280" s="61">
        <f t="shared" si="83"/>
        <v>8.1152162492622387E-2</v>
      </c>
      <c r="Z280" s="61">
        <f t="shared" si="83"/>
        <v>7.6927544587329574E-2</v>
      </c>
      <c r="AA280" s="61">
        <f t="shared" si="83"/>
        <v>7.2002550888557892E-2</v>
      </c>
      <c r="AB280" s="61">
        <f t="shared" si="83"/>
        <v>6.6554763110006548E-2</v>
      </c>
      <c r="AC280" s="61">
        <f t="shared" si="83"/>
        <v>6.0765239741347989E-2</v>
      </c>
      <c r="AD280" s="61">
        <f t="shared" si="83"/>
        <v>5.4809300830280898E-2</v>
      </c>
      <c r="AE280" s="61">
        <f t="shared" si="83"/>
        <v>4.8848705652570698E-2</v>
      </c>
      <c r="AF280" s="61">
        <f t="shared" si="83"/>
        <v>4.3025610610629796E-2</v>
      </c>
      <c r="AG280" s="61">
        <f t="shared" si="83"/>
        <v>3.7458494527637991E-2</v>
      </c>
      <c r="AH280" s="61">
        <f t="shared" si="83"/>
        <v>3.2240050283892388E-2</v>
      </c>
      <c r="AI280" s="61">
        <f t="shared" si="83"/>
        <v>2.7436883188559587E-2</v>
      </c>
      <c r="AJ280" s="61">
        <f t="shared" si="83"/>
        <v>2.3090738925295427E-2</v>
      </c>
      <c r="AK280" s="61">
        <f t="shared" si="83"/>
        <v>1.9220912034930728E-2</v>
      </c>
      <c r="AL280" s="61">
        <f t="shared" si="83"/>
        <v>1.5827458406804606E-2</v>
      </c>
      <c r="AM280" s="61">
        <f t="shared" si="83"/>
        <v>1.2894846205619927E-2</v>
      </c>
      <c r="AN280" s="61">
        <f t="shared" si="83"/>
        <v>1.0395720152997064E-2</v>
      </c>
      <c r="AO280" s="61">
        <f t="shared" si="83"/>
        <v>8.2945139235829097E-3</v>
      </c>
      <c r="AP280" s="61">
        <f t="shared" si="83"/>
        <v>6.5507146161204568E-3</v>
      </c>
    </row>
    <row r="281" spans="1:42" x14ac:dyDescent="0.25">
      <c r="B281" s="19">
        <f t="shared" ref="B281:L281" si="84">B274</f>
        <v>1710</v>
      </c>
      <c r="C281" s="19">
        <f t="shared" si="84"/>
        <v>1719.5</v>
      </c>
      <c r="D281" s="19">
        <f t="shared" si="84"/>
        <v>1729</v>
      </c>
      <c r="E281" s="19">
        <f t="shared" si="84"/>
        <v>1738.5</v>
      </c>
      <c r="F281" s="19">
        <f t="shared" si="84"/>
        <v>1748</v>
      </c>
      <c r="G281" s="19">
        <f t="shared" si="84"/>
        <v>1757.5</v>
      </c>
      <c r="H281" s="60">
        <f t="shared" si="84"/>
        <v>1766.9999999999998</v>
      </c>
      <c r="I281" s="60">
        <f t="shared" si="84"/>
        <v>1776.5</v>
      </c>
      <c r="J281" s="60">
        <f t="shared" si="84"/>
        <v>1786</v>
      </c>
      <c r="K281" s="60">
        <f t="shared" si="84"/>
        <v>1795.5</v>
      </c>
      <c r="L281" s="60">
        <f t="shared" si="84"/>
        <v>1805</v>
      </c>
      <c r="M281" s="60">
        <f t="shared" ref="M281:V281" si="85">M274</f>
        <v>1814.5</v>
      </c>
      <c r="N281" s="60">
        <f t="shared" si="85"/>
        <v>1824</v>
      </c>
      <c r="O281" s="60">
        <f t="shared" si="85"/>
        <v>1833.5</v>
      </c>
      <c r="P281" s="60">
        <f t="shared" si="85"/>
        <v>1843</v>
      </c>
      <c r="Q281" s="60">
        <f t="shared" si="85"/>
        <v>1852.5</v>
      </c>
      <c r="R281" s="60">
        <f t="shared" si="85"/>
        <v>1862</v>
      </c>
      <c r="S281" s="60">
        <f t="shared" si="85"/>
        <v>1871.5</v>
      </c>
      <c r="T281" s="60">
        <f t="shared" si="85"/>
        <v>1881</v>
      </c>
      <c r="U281" s="60">
        <f t="shared" si="85"/>
        <v>1890.5</v>
      </c>
      <c r="V281" s="60">
        <f t="shared" si="85"/>
        <v>1900</v>
      </c>
      <c r="W281" s="60">
        <f t="shared" ref="W281:AP281" si="86">W274</f>
        <v>1909.4999999999998</v>
      </c>
      <c r="X281" s="60">
        <f t="shared" si="86"/>
        <v>1919</v>
      </c>
      <c r="Y281" s="60">
        <f t="shared" si="86"/>
        <v>1928.4999999999998</v>
      </c>
      <c r="Z281" s="60">
        <f t="shared" si="86"/>
        <v>1938</v>
      </c>
      <c r="AA281" s="60">
        <f t="shared" si="86"/>
        <v>1947.4999999999998</v>
      </c>
      <c r="AB281" s="60">
        <f t="shared" si="86"/>
        <v>1957</v>
      </c>
      <c r="AC281" s="60">
        <f t="shared" si="86"/>
        <v>1966.4999999999998</v>
      </c>
      <c r="AD281" s="60">
        <f t="shared" si="86"/>
        <v>1976</v>
      </c>
      <c r="AE281" s="60">
        <f t="shared" si="86"/>
        <v>1985.4999999999998</v>
      </c>
      <c r="AF281" s="60">
        <f t="shared" si="86"/>
        <v>1995</v>
      </c>
      <c r="AG281" s="60">
        <f t="shared" si="86"/>
        <v>2004.4999999999998</v>
      </c>
      <c r="AH281" s="60">
        <f t="shared" si="86"/>
        <v>2014</v>
      </c>
      <c r="AI281" s="60">
        <f t="shared" si="86"/>
        <v>2023.5</v>
      </c>
      <c r="AJ281" s="60">
        <f t="shared" si="86"/>
        <v>2033.0000000000002</v>
      </c>
      <c r="AK281" s="60">
        <f t="shared" si="86"/>
        <v>2042.5</v>
      </c>
      <c r="AL281" s="60">
        <f t="shared" si="86"/>
        <v>2052</v>
      </c>
      <c r="AM281" s="60">
        <f t="shared" si="86"/>
        <v>2061.5</v>
      </c>
      <c r="AN281" s="60">
        <f t="shared" si="86"/>
        <v>2071</v>
      </c>
      <c r="AO281" s="60">
        <f t="shared" si="86"/>
        <v>2080.5</v>
      </c>
      <c r="AP281" s="60">
        <f t="shared" si="86"/>
        <v>2090</v>
      </c>
    </row>
    <row r="282" spans="1:42" x14ac:dyDescent="0.25">
      <c r="A282" t="s">
        <v>27</v>
      </c>
      <c r="B282" s="103">
        <f>(gammaG($C$9,B281,$C$11,$C$12,$C$13,$C$14-$A$40,$C$15*(1+$A$43)))*$C$5*$C$6*$C$10^2/100/$A$2</f>
        <v>3.6082814538554355E-4</v>
      </c>
      <c r="C282" s="103">
        <f t="shared" ref="C282:AP282" si="87">(gammaG($C$9,C281,$C$11,$C$12,$C$13,$C$14-$A$40,$C$15*(1+$A$43)))*$C$5*$C$6*$C$10^2/100/$A$2</f>
        <v>6.6167372411035554E-4</v>
      </c>
      <c r="D282" s="103">
        <f t="shared" si="87"/>
        <v>1.1701435577453696E-3</v>
      </c>
      <c r="E282" s="103">
        <f t="shared" si="87"/>
        <v>1.9968106759982178E-3</v>
      </c>
      <c r="F282" s="103">
        <f t="shared" si="87"/>
        <v>3.2899014178275044E-3</v>
      </c>
      <c r="G282" s="103">
        <f t="shared" si="87"/>
        <v>5.2362221824745646E-3</v>
      </c>
      <c r="H282" s="103">
        <f t="shared" si="87"/>
        <v>8.0552432985033749E-3</v>
      </c>
      <c r="I282" s="103">
        <f t="shared" si="87"/>
        <v>1.1983848345893042E-2</v>
      </c>
      <c r="J282" s="103">
        <f t="shared" si="87"/>
        <v>1.7250359077650025E-2</v>
      </c>
      <c r="K282" s="103">
        <f t="shared" si="87"/>
        <v>2.403847638021455E-2</v>
      </c>
      <c r="L282" s="103">
        <f t="shared" si="87"/>
        <v>3.244450816700141E-2</v>
      </c>
      <c r="M282" s="103">
        <f t="shared" si="87"/>
        <v>4.2434123651275447E-2</v>
      </c>
      <c r="N282" s="103">
        <f t="shared" si="87"/>
        <v>5.3807066809309786E-2</v>
      </c>
      <c r="O282" s="103">
        <f t="shared" si="87"/>
        <v>6.6178925531750074E-2</v>
      </c>
      <c r="P282" s="103">
        <f t="shared" si="87"/>
        <v>7.8987580429228502E-2</v>
      </c>
      <c r="Q282" s="103">
        <f t="shared" si="87"/>
        <v>9.1528261299881272E-2</v>
      </c>
      <c r="R282" s="103">
        <f t="shared" si="87"/>
        <v>0.10301579290380813</v>
      </c>
      <c r="S282" s="103">
        <f t="shared" si="87"/>
        <v>0.11266677785503332</v>
      </c>
      <c r="T282" s="103">
        <f t="shared" si="87"/>
        <v>0.11978960724409579</v>
      </c>
      <c r="U282" s="103">
        <f t="shared" si="87"/>
        <v>0.12386764725787758</v>
      </c>
      <c r="V282" s="103">
        <f t="shared" si="87"/>
        <v>0.12462151254953392</v>
      </c>
      <c r="W282" s="103">
        <f t="shared" si="87"/>
        <v>0.12203998021701323</v>
      </c>
      <c r="X282" s="103">
        <f t="shared" si="87"/>
        <v>0.11637497288341073</v>
      </c>
      <c r="Y282" s="103">
        <f t="shared" si="87"/>
        <v>0.10810272178654258</v>
      </c>
      <c r="Z282" s="103">
        <f t="shared" si="87"/>
        <v>9.7859134395860539E-2</v>
      </c>
      <c r="AA282" s="103">
        <f t="shared" si="87"/>
        <v>8.6361252975137595E-2</v>
      </c>
      <c r="AB282" s="103">
        <f t="shared" si="87"/>
        <v>7.4327836552353768E-2</v>
      </c>
      <c r="AC282" s="103">
        <f t="shared" si="87"/>
        <v>6.241059559010869E-2</v>
      </c>
      <c r="AD282" s="103">
        <f t="shared" si="87"/>
        <v>5.1144142811574783E-2</v>
      </c>
      <c r="AE282" s="103">
        <f t="shared" si="87"/>
        <v>4.0918332592861033E-2</v>
      </c>
      <c r="AF282" s="103">
        <f t="shared" si="87"/>
        <v>3.1972412284274332E-2</v>
      </c>
      <c r="AG282" s="103">
        <f t="shared" si="87"/>
        <v>2.4407129099201359E-2</v>
      </c>
      <c r="AH282" s="103">
        <f t="shared" si="87"/>
        <v>1.8209062640274751E-2</v>
      </c>
      <c r="AI282" s="103">
        <f t="shared" si="87"/>
        <v>1.3281016958498686E-2</v>
      </c>
      <c r="AJ282" s="103">
        <f t="shared" si="87"/>
        <v>9.4730253503204874E-3</v>
      </c>
      <c r="AK282" s="103">
        <f t="shared" si="87"/>
        <v>6.6099481032785854E-3</v>
      </c>
      <c r="AL282" s="103">
        <f t="shared" si="87"/>
        <v>4.5133120961069334E-3</v>
      </c>
      <c r="AM282" s="103">
        <f t="shared" si="87"/>
        <v>3.0165762803654001E-3</v>
      </c>
      <c r="AN282" s="103">
        <f t="shared" si="87"/>
        <v>1.9741778641365055E-3</v>
      </c>
      <c r="AO282" s="103">
        <f t="shared" si="87"/>
        <v>1.265436715078527E-3</v>
      </c>
      <c r="AP282" s="103">
        <f t="shared" si="87"/>
        <v>7.9470099745839753E-4</v>
      </c>
    </row>
    <row r="283" spans="1:42" x14ac:dyDescent="0.25">
      <c r="A283" t="s">
        <v>28</v>
      </c>
      <c r="B283" s="103">
        <f>(gammaG($D$9,B281,$D$11,$D$12,$D$13,$D$14-$A$40,$D$15*(1+$A$43)))*$D$5*$D$6*$C$10^2/100/$A$2</f>
        <v>0</v>
      </c>
      <c r="C283" s="103">
        <f t="shared" ref="C283:AP283" si="88">(gammaG($D$9,C281,$D$11,$D$12,$D$13,$D$14-$A$40,$D$15*(1+$A$43)))*$D$5*$D$6*$C$10^2/100/$A$2</f>
        <v>0</v>
      </c>
      <c r="D283" s="103">
        <f t="shared" si="88"/>
        <v>0</v>
      </c>
      <c r="E283" s="103">
        <f t="shared" si="88"/>
        <v>0</v>
      </c>
      <c r="F283" s="103">
        <f t="shared" si="88"/>
        <v>0</v>
      </c>
      <c r="G283" s="103">
        <f t="shared" si="88"/>
        <v>0</v>
      </c>
      <c r="H283" s="103">
        <f t="shared" si="88"/>
        <v>0</v>
      </c>
      <c r="I283" s="103">
        <f t="shared" si="88"/>
        <v>0</v>
      </c>
      <c r="J283" s="103">
        <f t="shared" si="88"/>
        <v>0</v>
      </c>
      <c r="K283" s="103">
        <f t="shared" si="88"/>
        <v>0</v>
      </c>
      <c r="L283" s="103">
        <f t="shared" si="88"/>
        <v>0</v>
      </c>
      <c r="M283" s="103">
        <f t="shared" si="88"/>
        <v>0</v>
      </c>
      <c r="N283" s="103">
        <f t="shared" si="88"/>
        <v>0</v>
      </c>
      <c r="O283" s="103">
        <f t="shared" si="88"/>
        <v>0</v>
      </c>
      <c r="P283" s="103">
        <f t="shared" si="88"/>
        <v>0</v>
      </c>
      <c r="Q283" s="103">
        <f t="shared" si="88"/>
        <v>0</v>
      </c>
      <c r="R283" s="103">
        <f t="shared" si="88"/>
        <v>0</v>
      </c>
      <c r="S283" s="103">
        <f t="shared" si="88"/>
        <v>0</v>
      </c>
      <c r="T283" s="103">
        <f t="shared" si="88"/>
        <v>0</v>
      </c>
      <c r="U283" s="103">
        <f t="shared" si="88"/>
        <v>0</v>
      </c>
      <c r="V283" s="103">
        <f t="shared" si="88"/>
        <v>0</v>
      </c>
      <c r="W283" s="103">
        <f t="shared" si="88"/>
        <v>0</v>
      </c>
      <c r="X283" s="103">
        <f t="shared" si="88"/>
        <v>0</v>
      </c>
      <c r="Y283" s="103">
        <f t="shared" si="88"/>
        <v>0</v>
      </c>
      <c r="Z283" s="103">
        <f t="shared" si="88"/>
        <v>0</v>
      </c>
      <c r="AA283" s="103">
        <f t="shared" si="88"/>
        <v>0</v>
      </c>
      <c r="AB283" s="103">
        <f t="shared" si="88"/>
        <v>0</v>
      </c>
      <c r="AC283" s="103">
        <f t="shared" si="88"/>
        <v>0</v>
      </c>
      <c r="AD283" s="103">
        <f t="shared" si="88"/>
        <v>0</v>
      </c>
      <c r="AE283" s="103">
        <f t="shared" si="88"/>
        <v>0</v>
      </c>
      <c r="AF283" s="103">
        <f t="shared" si="88"/>
        <v>0</v>
      </c>
      <c r="AG283" s="103">
        <f t="shared" si="88"/>
        <v>0</v>
      </c>
      <c r="AH283" s="103">
        <f t="shared" si="88"/>
        <v>0</v>
      </c>
      <c r="AI283" s="103">
        <f t="shared" si="88"/>
        <v>0</v>
      </c>
      <c r="AJ283" s="103">
        <f t="shared" si="88"/>
        <v>0</v>
      </c>
      <c r="AK283" s="103">
        <f t="shared" si="88"/>
        <v>0</v>
      </c>
      <c r="AL283" s="103">
        <f t="shared" si="88"/>
        <v>0</v>
      </c>
      <c r="AM283" s="103">
        <f t="shared" si="88"/>
        <v>0</v>
      </c>
      <c r="AN283" s="103">
        <f t="shared" si="88"/>
        <v>0</v>
      </c>
      <c r="AO283" s="103">
        <f t="shared" si="88"/>
        <v>0</v>
      </c>
      <c r="AP283" s="103">
        <f t="shared" si="88"/>
        <v>0</v>
      </c>
    </row>
    <row r="284" spans="1:42" x14ac:dyDescent="0.25">
      <c r="A284" t="s">
        <v>29</v>
      </c>
      <c r="B284" s="103">
        <f>(gammaG($E$9,B281,$E$11,$E$12,$E$13,$E$14-$A$40,$E$15*(1+$A$43)))*$E$5*$E$6*$C$10^2/100/$A$2</f>
        <v>0</v>
      </c>
      <c r="C284" s="103">
        <f t="shared" ref="C284:AP284" si="89">(gammaG($E$9,C281,$E$11,$E$12,$E$13,$E$14-$A$40,$E$15*(1+$A$43)))*$E$5*$E$6*$C$10^2/100/$A$2</f>
        <v>0</v>
      </c>
      <c r="D284" s="103">
        <f t="shared" si="89"/>
        <v>0</v>
      </c>
      <c r="E284" s="103">
        <f t="shared" si="89"/>
        <v>0</v>
      </c>
      <c r="F284" s="103">
        <f t="shared" si="89"/>
        <v>0</v>
      </c>
      <c r="G284" s="103">
        <f t="shared" si="89"/>
        <v>0</v>
      </c>
      <c r="H284" s="103">
        <f t="shared" si="89"/>
        <v>0</v>
      </c>
      <c r="I284" s="103">
        <f t="shared" si="89"/>
        <v>0</v>
      </c>
      <c r="J284" s="103">
        <f t="shared" si="89"/>
        <v>0</v>
      </c>
      <c r="K284" s="103">
        <f t="shared" si="89"/>
        <v>0</v>
      </c>
      <c r="L284" s="103">
        <f t="shared" si="89"/>
        <v>0</v>
      </c>
      <c r="M284" s="103">
        <f t="shared" si="89"/>
        <v>0</v>
      </c>
      <c r="N284" s="103">
        <f t="shared" si="89"/>
        <v>0</v>
      </c>
      <c r="O284" s="103">
        <f t="shared" si="89"/>
        <v>0</v>
      </c>
      <c r="P284" s="103">
        <f t="shared" si="89"/>
        <v>0</v>
      </c>
      <c r="Q284" s="103">
        <f t="shared" si="89"/>
        <v>0</v>
      </c>
      <c r="R284" s="103">
        <f t="shared" si="89"/>
        <v>0</v>
      </c>
      <c r="S284" s="103">
        <f t="shared" si="89"/>
        <v>0</v>
      </c>
      <c r="T284" s="103">
        <f t="shared" si="89"/>
        <v>0</v>
      </c>
      <c r="U284" s="103">
        <f t="shared" si="89"/>
        <v>0</v>
      </c>
      <c r="V284" s="103">
        <f t="shared" si="89"/>
        <v>0</v>
      </c>
      <c r="W284" s="103">
        <f t="shared" si="89"/>
        <v>0</v>
      </c>
      <c r="X284" s="103">
        <f t="shared" si="89"/>
        <v>0</v>
      </c>
      <c r="Y284" s="103">
        <f t="shared" si="89"/>
        <v>0</v>
      </c>
      <c r="Z284" s="103">
        <f t="shared" si="89"/>
        <v>0</v>
      </c>
      <c r="AA284" s="103">
        <f t="shared" si="89"/>
        <v>0</v>
      </c>
      <c r="AB284" s="103">
        <f t="shared" si="89"/>
        <v>0</v>
      </c>
      <c r="AC284" s="103">
        <f t="shared" si="89"/>
        <v>0</v>
      </c>
      <c r="AD284" s="103">
        <f t="shared" si="89"/>
        <v>0</v>
      </c>
      <c r="AE284" s="103">
        <f t="shared" si="89"/>
        <v>0</v>
      </c>
      <c r="AF284" s="103">
        <f t="shared" si="89"/>
        <v>0</v>
      </c>
      <c r="AG284" s="103">
        <f t="shared" si="89"/>
        <v>0</v>
      </c>
      <c r="AH284" s="103">
        <f t="shared" si="89"/>
        <v>0</v>
      </c>
      <c r="AI284" s="103">
        <f t="shared" si="89"/>
        <v>0</v>
      </c>
      <c r="AJ284" s="103">
        <f t="shared" si="89"/>
        <v>0</v>
      </c>
      <c r="AK284" s="103">
        <f t="shared" si="89"/>
        <v>0</v>
      </c>
      <c r="AL284" s="103">
        <f t="shared" si="89"/>
        <v>0</v>
      </c>
      <c r="AM284" s="103">
        <f t="shared" si="89"/>
        <v>0</v>
      </c>
      <c r="AN284" s="103">
        <f t="shared" si="89"/>
        <v>0</v>
      </c>
      <c r="AO284" s="103">
        <f t="shared" si="89"/>
        <v>0</v>
      </c>
      <c r="AP284" s="103">
        <f t="shared" si="89"/>
        <v>0</v>
      </c>
    </row>
    <row r="285" spans="1:42" x14ac:dyDescent="0.25">
      <c r="A285" t="s">
        <v>30</v>
      </c>
      <c r="B285" s="103">
        <f>(gammaG($F$9,B281,$F$11,$F$12,$F$13,$F$14-$A$40,$F$15*(1+$A$43)))*$F$5*$F$6*$C$10^2/100/$A$2</f>
        <v>0</v>
      </c>
      <c r="C285" s="103">
        <f t="shared" ref="C285:AP285" si="90">(gammaG($F$9,C281,$F$11,$F$12,$F$13,$F$14-$A$40,$F$15*(1+$A$43)))*$F$5*$F$6*$C$10^2/100/$A$2</f>
        <v>0</v>
      </c>
      <c r="D285" s="103">
        <f t="shared" si="90"/>
        <v>0</v>
      </c>
      <c r="E285" s="103">
        <f t="shared" si="90"/>
        <v>0</v>
      </c>
      <c r="F285" s="103">
        <f t="shared" si="90"/>
        <v>0</v>
      </c>
      <c r="G285" s="103">
        <f t="shared" si="90"/>
        <v>0</v>
      </c>
      <c r="H285" s="103">
        <f t="shared" si="90"/>
        <v>0</v>
      </c>
      <c r="I285" s="103">
        <f t="shared" si="90"/>
        <v>0</v>
      </c>
      <c r="J285" s="103">
        <f t="shared" si="90"/>
        <v>0</v>
      </c>
      <c r="K285" s="103">
        <f t="shared" si="90"/>
        <v>0</v>
      </c>
      <c r="L285" s="103">
        <f t="shared" si="90"/>
        <v>0</v>
      </c>
      <c r="M285" s="103">
        <f t="shared" si="90"/>
        <v>0</v>
      </c>
      <c r="N285" s="103">
        <f t="shared" si="90"/>
        <v>0</v>
      </c>
      <c r="O285" s="103">
        <f t="shared" si="90"/>
        <v>0</v>
      </c>
      <c r="P285" s="103">
        <f t="shared" si="90"/>
        <v>0</v>
      </c>
      <c r="Q285" s="103">
        <f t="shared" si="90"/>
        <v>0</v>
      </c>
      <c r="R285" s="103">
        <f t="shared" si="90"/>
        <v>0</v>
      </c>
      <c r="S285" s="103">
        <f t="shared" si="90"/>
        <v>0</v>
      </c>
      <c r="T285" s="103">
        <f t="shared" si="90"/>
        <v>0</v>
      </c>
      <c r="U285" s="103">
        <f t="shared" si="90"/>
        <v>0</v>
      </c>
      <c r="V285" s="103">
        <f t="shared" si="90"/>
        <v>0</v>
      </c>
      <c r="W285" s="103">
        <f t="shared" si="90"/>
        <v>0</v>
      </c>
      <c r="X285" s="103">
        <f t="shared" si="90"/>
        <v>0</v>
      </c>
      <c r="Y285" s="103">
        <f t="shared" si="90"/>
        <v>0</v>
      </c>
      <c r="Z285" s="103">
        <f t="shared" si="90"/>
        <v>0</v>
      </c>
      <c r="AA285" s="103">
        <f t="shared" si="90"/>
        <v>0</v>
      </c>
      <c r="AB285" s="103">
        <f t="shared" si="90"/>
        <v>0</v>
      </c>
      <c r="AC285" s="103">
        <f t="shared" si="90"/>
        <v>0</v>
      </c>
      <c r="AD285" s="103">
        <f t="shared" si="90"/>
        <v>0</v>
      </c>
      <c r="AE285" s="103">
        <f t="shared" si="90"/>
        <v>0</v>
      </c>
      <c r="AF285" s="103">
        <f t="shared" si="90"/>
        <v>0</v>
      </c>
      <c r="AG285" s="103">
        <f t="shared" si="90"/>
        <v>0</v>
      </c>
      <c r="AH285" s="103">
        <f t="shared" si="90"/>
        <v>0</v>
      </c>
      <c r="AI285" s="103">
        <f t="shared" si="90"/>
        <v>0</v>
      </c>
      <c r="AJ285" s="103">
        <f t="shared" si="90"/>
        <v>0</v>
      </c>
      <c r="AK285" s="103">
        <f t="shared" si="90"/>
        <v>0</v>
      </c>
      <c r="AL285" s="103">
        <f t="shared" si="90"/>
        <v>0</v>
      </c>
      <c r="AM285" s="103">
        <f t="shared" si="90"/>
        <v>0</v>
      </c>
      <c r="AN285" s="103">
        <f t="shared" si="90"/>
        <v>0</v>
      </c>
      <c r="AO285" s="103">
        <f t="shared" si="90"/>
        <v>0</v>
      </c>
      <c r="AP285" s="103">
        <f t="shared" si="90"/>
        <v>0</v>
      </c>
    </row>
    <row r="286" spans="1:42" x14ac:dyDescent="0.25">
      <c r="A286" t="s">
        <v>6</v>
      </c>
      <c r="B286" s="103">
        <v>0</v>
      </c>
      <c r="C286" s="103">
        <v>0</v>
      </c>
      <c r="D286" s="103">
        <v>0</v>
      </c>
      <c r="E286" s="103">
        <v>0</v>
      </c>
      <c r="F286" s="103">
        <v>0</v>
      </c>
      <c r="G286" s="103">
        <v>0</v>
      </c>
      <c r="H286" s="103">
        <v>0</v>
      </c>
      <c r="I286" s="103">
        <v>0</v>
      </c>
      <c r="J286" s="103">
        <v>0</v>
      </c>
      <c r="K286" s="103">
        <v>0</v>
      </c>
      <c r="L286" s="103">
        <v>0</v>
      </c>
      <c r="M286" s="103">
        <v>0</v>
      </c>
      <c r="N286" s="103">
        <v>0</v>
      </c>
      <c r="O286" s="103">
        <v>0</v>
      </c>
      <c r="P286" s="103">
        <v>0</v>
      </c>
      <c r="Q286" s="103">
        <v>0</v>
      </c>
      <c r="R286" s="103">
        <v>0</v>
      </c>
      <c r="S286" s="103">
        <v>0</v>
      </c>
      <c r="T286" s="103">
        <v>0</v>
      </c>
      <c r="U286" s="103">
        <v>0</v>
      </c>
      <c r="V286" s="103">
        <v>0</v>
      </c>
      <c r="W286" s="103">
        <v>0</v>
      </c>
      <c r="X286" s="103">
        <v>0</v>
      </c>
      <c r="Y286" s="103">
        <v>0</v>
      </c>
      <c r="Z286" s="103">
        <v>0</v>
      </c>
      <c r="AA286" s="103">
        <v>0</v>
      </c>
      <c r="AB286" s="103">
        <v>0</v>
      </c>
      <c r="AC286" s="103">
        <v>0</v>
      </c>
      <c r="AD286" s="103">
        <v>0</v>
      </c>
      <c r="AE286" s="103">
        <v>0</v>
      </c>
      <c r="AF286" s="103">
        <v>0</v>
      </c>
      <c r="AG286" s="103">
        <v>0</v>
      </c>
      <c r="AH286" s="103">
        <v>0</v>
      </c>
      <c r="AI286" s="103">
        <v>0</v>
      </c>
      <c r="AJ286" s="103">
        <v>0</v>
      </c>
      <c r="AK286" s="103">
        <v>0</v>
      </c>
      <c r="AL286" s="103">
        <v>0</v>
      </c>
      <c r="AM286" s="103">
        <v>0</v>
      </c>
      <c r="AN286" s="103">
        <v>0</v>
      </c>
      <c r="AO286" s="103">
        <v>0</v>
      </c>
      <c r="AP286" s="103">
        <v>0</v>
      </c>
    </row>
    <row r="287" spans="1:42" x14ac:dyDescent="0.25">
      <c r="A287" s="7" t="s">
        <v>46</v>
      </c>
      <c r="B287" s="21">
        <f t="shared" ref="B287:AP287" si="91">SUM(B282:B286)</f>
        <v>3.6082814538554355E-4</v>
      </c>
      <c r="C287" s="21">
        <f t="shared" si="91"/>
        <v>6.6167372411035554E-4</v>
      </c>
      <c r="D287" s="21">
        <f t="shared" si="91"/>
        <v>1.1701435577453696E-3</v>
      </c>
      <c r="E287" s="21">
        <f t="shared" si="91"/>
        <v>1.9968106759982178E-3</v>
      </c>
      <c r="F287" s="21">
        <f t="shared" si="91"/>
        <v>3.2899014178275044E-3</v>
      </c>
      <c r="G287" s="21">
        <f t="shared" si="91"/>
        <v>5.2362221824745646E-3</v>
      </c>
      <c r="H287" s="61">
        <f t="shared" si="91"/>
        <v>8.0552432985033749E-3</v>
      </c>
      <c r="I287" s="61">
        <f t="shared" si="91"/>
        <v>1.1983848345893042E-2</v>
      </c>
      <c r="J287" s="61">
        <f t="shared" si="91"/>
        <v>1.7250359077650025E-2</v>
      </c>
      <c r="K287" s="61">
        <f t="shared" si="91"/>
        <v>2.403847638021455E-2</v>
      </c>
      <c r="L287" s="61">
        <f t="shared" si="91"/>
        <v>3.244450816700141E-2</v>
      </c>
      <c r="M287" s="61">
        <f t="shared" si="91"/>
        <v>4.2434123651275447E-2</v>
      </c>
      <c r="N287" s="61">
        <f t="shared" si="91"/>
        <v>5.3807066809309786E-2</v>
      </c>
      <c r="O287" s="61">
        <f t="shared" si="91"/>
        <v>6.6178925531750074E-2</v>
      </c>
      <c r="P287" s="61">
        <f t="shared" si="91"/>
        <v>7.8987580429228502E-2</v>
      </c>
      <c r="Q287" s="61">
        <f t="shared" si="91"/>
        <v>9.1528261299881272E-2</v>
      </c>
      <c r="R287" s="61">
        <f t="shared" si="91"/>
        <v>0.10301579290380813</v>
      </c>
      <c r="S287" s="61">
        <f t="shared" si="91"/>
        <v>0.11266677785503332</v>
      </c>
      <c r="T287" s="61">
        <f t="shared" si="91"/>
        <v>0.11978960724409579</v>
      </c>
      <c r="U287" s="61">
        <f t="shared" si="91"/>
        <v>0.12386764725787758</v>
      </c>
      <c r="V287" s="61">
        <f t="shared" si="91"/>
        <v>0.12462151254953392</v>
      </c>
      <c r="W287" s="61">
        <f t="shared" si="91"/>
        <v>0.12203998021701323</v>
      </c>
      <c r="X287" s="61">
        <f t="shared" si="91"/>
        <v>0.11637497288341073</v>
      </c>
      <c r="Y287" s="61">
        <f t="shared" si="91"/>
        <v>0.10810272178654258</v>
      </c>
      <c r="Z287" s="61">
        <f t="shared" si="91"/>
        <v>9.7859134395860539E-2</v>
      </c>
      <c r="AA287" s="61">
        <f t="shared" si="91"/>
        <v>8.6361252975137595E-2</v>
      </c>
      <c r="AB287" s="61">
        <f t="shared" si="91"/>
        <v>7.4327836552353768E-2</v>
      </c>
      <c r="AC287" s="61">
        <f t="shared" si="91"/>
        <v>6.241059559010869E-2</v>
      </c>
      <c r="AD287" s="61">
        <f t="shared" si="91"/>
        <v>5.1144142811574783E-2</v>
      </c>
      <c r="AE287" s="61">
        <f t="shared" si="91"/>
        <v>4.0918332592861033E-2</v>
      </c>
      <c r="AF287" s="61">
        <f t="shared" si="91"/>
        <v>3.1972412284274332E-2</v>
      </c>
      <c r="AG287" s="61">
        <f t="shared" si="91"/>
        <v>2.4407129099201359E-2</v>
      </c>
      <c r="AH287" s="61">
        <f t="shared" si="91"/>
        <v>1.8209062640274751E-2</v>
      </c>
      <c r="AI287" s="61">
        <f t="shared" si="91"/>
        <v>1.3281016958498686E-2</v>
      </c>
      <c r="AJ287" s="61">
        <f t="shared" si="91"/>
        <v>9.4730253503204874E-3</v>
      </c>
      <c r="AK287" s="61">
        <f t="shared" si="91"/>
        <v>6.6099481032785854E-3</v>
      </c>
      <c r="AL287" s="61">
        <f t="shared" si="91"/>
        <v>4.5133120961069334E-3</v>
      </c>
      <c r="AM287" s="61">
        <f t="shared" si="91"/>
        <v>3.0165762803654001E-3</v>
      </c>
      <c r="AN287" s="61">
        <f t="shared" si="91"/>
        <v>1.9741778641365055E-3</v>
      </c>
      <c r="AO287" s="61">
        <f t="shared" si="91"/>
        <v>1.265436715078527E-3</v>
      </c>
      <c r="AP287" s="61">
        <f t="shared" si="91"/>
        <v>7.9470099745839753E-4</v>
      </c>
    </row>
  </sheetData>
  <dataValidations count="1">
    <dataValidation type="list" allowBlank="1" showInputMessage="1" showErrorMessage="1" sqref="C9:F9">
      <formula1>$AB$1:$AB$2</formula1>
    </dataValidation>
  </dataValidations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Option Pricer</vt:lpstr>
    </vt:vector>
  </TitlesOfParts>
  <Company>Union Bancaire Privée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BOTBOL Schlomy</dc:creator>
  <cp:lastModifiedBy>Schlomy BOTBOL</cp:lastModifiedBy>
  <dcterms:created xsi:type="dcterms:W3CDTF">2014-08-05T15:03:45Z</dcterms:created>
  <dcterms:modified xsi:type="dcterms:W3CDTF">2022-08-30T15:19:36Z</dcterms:modified>
</cp:coreProperties>
</file>